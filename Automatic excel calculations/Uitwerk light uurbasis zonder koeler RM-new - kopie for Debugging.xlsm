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!Projects\Heatpumps Monitoring\Process Data Scripts\Automatic excel calculations\TemporaryStoredFiles\"/>
    </mc:Choice>
  </mc:AlternateContent>
  <bookViews>
    <workbookView xWindow="32280" yWindow="2295" windowWidth="21600" windowHeight="11835"/>
  </bookViews>
  <sheets>
    <sheet name="Control" sheetId="1" r:id="rId1"/>
    <sheet name="Data" sheetId="2" r:id="rId2"/>
    <sheet name="Sum_day" sheetId="12" r:id="rId3"/>
    <sheet name="Sum_week" sheetId="13" r:id="rId4"/>
    <sheet name="Stat" sheetId="10" r:id="rId5"/>
    <sheet name="Chart1" sheetId="8" r:id="rId6"/>
    <sheet name="Chart2" sheetId="9" r:id="rId7"/>
    <sheet name="Chart3" sheetId="11" r:id="rId8"/>
    <sheet name="Fysica" sheetId="4" state="hidden" r:id="rId9"/>
    <sheet name="Fyscon" sheetId="5" state="hidden" r:id="rId10"/>
    <sheet name="Gas" sheetId="6" state="hidden" r:id="rId11"/>
  </sheets>
  <functionGroups builtInGroupCount="18"/>
  <definedNames>
    <definedName name="BG_dichtheid">#REF!</definedName>
    <definedName name="BG_Hs">#REF!</definedName>
    <definedName name="Brandstof">#REF!</definedName>
    <definedName name="Fyscon">Fyscon!$D$4:$BG$71</definedName>
    <definedName name="Ggas">Gas!$C$3:$C$70</definedName>
    <definedName name="hGgas">Fysica!$A$3:$R$20</definedName>
    <definedName name="hHgas">Fysica!$A$24:$R$41</definedName>
    <definedName name="K_COP_WP">#REF!</definedName>
    <definedName name="K_Cw">#REF!</definedName>
    <definedName name="K_dh_str1">#REF!</definedName>
    <definedName name="K_dh_str2">#REF!</definedName>
    <definedName name="K_dT_ketelw">#REF!</definedName>
    <definedName name="K_dT_koeler">#REF!</definedName>
    <definedName name="K_dT_WP">#REF!</definedName>
    <definedName name="K_h_gas_in">#REF!</definedName>
    <definedName name="K_h_uit_str1">#REF!</definedName>
    <definedName name="K_h_uit_str2">#REF!</definedName>
    <definedName name="K_kPa_per_bar">#REF!</definedName>
    <definedName name="K_literperkuub">#REF!</definedName>
    <definedName name="K_m_gas_str1">#REF!</definedName>
    <definedName name="K_m_gas_str2">#REF!</definedName>
    <definedName name="K_MJ_h_kJ_s">#REF!</definedName>
    <definedName name="K_negniettoegestaan">#REF!</definedName>
    <definedName name="K_negweltoegestaan">#REF!</definedName>
    <definedName name="K_p_gas_in">#REF!</definedName>
    <definedName name="K_p_gas_in_kPa">#REF!</definedName>
    <definedName name="K_p_uit_str1">#REF!</definedName>
    <definedName name="K_p_uit_str1_kPa">#REF!</definedName>
    <definedName name="K_p_uit_str2">#REF!</definedName>
    <definedName name="K_p_uit_str2_kPa">#REF!</definedName>
    <definedName name="K_Pe_WP">#REF!</definedName>
    <definedName name="K_Pe_WP_kW">#REF!</definedName>
    <definedName name="K_procent">#REF!</definedName>
    <definedName name="K_Q_afgeg">#REF!</definedName>
    <definedName name="K_Q_brgas">#REF!</definedName>
    <definedName name="K_Q_brgas_h">#REF!</definedName>
    <definedName name="K_Q_ket1">#REF!</definedName>
    <definedName name="K_Q_ket1_h">#REF!</definedName>
    <definedName name="K_Q_koeler">#REF!</definedName>
    <definedName name="K_Q_koeler_h">#REF!</definedName>
    <definedName name="K_Q_opgen">#REF!</definedName>
    <definedName name="K_Q_straten">#REF!</definedName>
    <definedName name="K_Q_WP">#REF!</definedName>
    <definedName name="K_Q_WP_h">#REF!</definedName>
    <definedName name="K_Qstr1">#REF!</definedName>
    <definedName name="K_Qstr1_h">#REF!</definedName>
    <definedName name="K_Qstr2">#REF!</definedName>
    <definedName name="K_Qstr2_h">#REF!</definedName>
    <definedName name="K_R_ket">#REF!</definedName>
    <definedName name="K_R_tot">#REF!</definedName>
    <definedName name="K_R_WZ">#REF!</definedName>
    <definedName name="K_sec_per_uur">#REF!</definedName>
    <definedName name="K_T_gas_in">#REF!</definedName>
    <definedName name="K_T_uit_str1">#REF!</definedName>
    <definedName name="K_T_uit_str2">#REF!</definedName>
    <definedName name="K_T_WP_in">#REF!</definedName>
    <definedName name="K_T_WP_uit">#REF!</definedName>
    <definedName name="K_Tw_ket1_in">#REF!</definedName>
    <definedName name="K_Tw_ket1_uit">#REF!</definedName>
    <definedName name="K_Tw_klep_in">#REF!</definedName>
    <definedName name="K_Tw_klep_uit">#REF!</definedName>
    <definedName name="K_V_brgas_m3_h">#REF!</definedName>
    <definedName name="K_V_gas_br">#REF!</definedName>
    <definedName name="K_V_gas_str1">#REF!</definedName>
    <definedName name="K_V_gas_str2">#REF!</definedName>
    <definedName name="K_Vw_ket_1">#REF!</definedName>
    <definedName name="K_Vw_klep">#REF!</definedName>
    <definedName name="K_Vw_WP">#REF!</definedName>
    <definedName name="K_WperkW">#REF!</definedName>
    <definedName name="RgNat">#REF!</definedName>
    <definedName name="Vert_COP_WP">#REF!</definedName>
    <definedName name="Vert_Cw">#REF!</definedName>
    <definedName name="Vert_dh_str1">#REF!</definedName>
    <definedName name="Vert_dh_str2">#REF!</definedName>
    <definedName name="Vert_dT_ketelw">#REF!</definedName>
    <definedName name="Vert_dT_koeler">#REF!</definedName>
    <definedName name="Vert_dT_WP">#REF!</definedName>
    <definedName name="Vert_h_gas_in">#REF!</definedName>
    <definedName name="Vert_h_uit_str1">#REF!</definedName>
    <definedName name="Vert_h_uit_str2">#REF!</definedName>
    <definedName name="Vert_kPa_per_bar">#REF!</definedName>
    <definedName name="Vert_literperkuub">#REF!</definedName>
    <definedName name="Vert_m_gas_str1">#REF!</definedName>
    <definedName name="Vert_m_gas_str2">#REF!</definedName>
    <definedName name="Vert_MJ_h_kJ_s">#REF!</definedName>
    <definedName name="Vert_negniettoegestaan">#REF!</definedName>
    <definedName name="Vert_negweltoegestaan">#REF!</definedName>
    <definedName name="Vert_p_gas_in">#REF!</definedName>
    <definedName name="Vert_p_gas_in_kPa">#REF!</definedName>
    <definedName name="Vert_p_uit_str1">#REF!</definedName>
    <definedName name="Vert_p_uit_str1_kPa">#REF!</definedName>
    <definedName name="Vert_p_uit_str2">#REF!</definedName>
    <definedName name="Vert_p_uit_str2_kPa">#REF!</definedName>
    <definedName name="Vert_Pe_WP">#REF!</definedName>
    <definedName name="Vert_Pe_WP_kW">#REF!</definedName>
    <definedName name="Vert_procent">#REF!</definedName>
    <definedName name="Vert_Q_afgeg">#REF!</definedName>
    <definedName name="Vert_Q_brgas">#REF!</definedName>
    <definedName name="Vert_Q_brgas_h">#REF!</definedName>
    <definedName name="Vert_Q_ket1">#REF!</definedName>
    <definedName name="Vert_Q_ket1_h">#REF!</definedName>
    <definedName name="Vert_Q_koeler">#REF!</definedName>
    <definedName name="Vert_Q_koeler_h">#REF!</definedName>
    <definedName name="Vert_Q_opgen">#REF!</definedName>
    <definedName name="Vert_Q_straten">#REF!</definedName>
    <definedName name="Vert_Q_WP">#REF!</definedName>
    <definedName name="Vert_Q_WP_h">#REF!</definedName>
    <definedName name="Vert_Qstr1">#REF!</definedName>
    <definedName name="Vert_Qstr1_h">#REF!</definedName>
    <definedName name="Vert_Qstr2">#REF!</definedName>
    <definedName name="Vert_Qstr2_h">#REF!</definedName>
    <definedName name="Vert_R_ket">#REF!</definedName>
    <definedName name="Vert_R_tot">#REF!</definedName>
    <definedName name="Vert_R_WZ">#REF!</definedName>
    <definedName name="Vert_sec_per_uur">#REF!</definedName>
    <definedName name="Vert_T_gas_in">#REF!</definedName>
    <definedName name="Vert_T_uit_str1">#REF!</definedName>
    <definedName name="Vert_T_uit_str2">#REF!</definedName>
    <definedName name="Vert_T_WP_in">#REF!</definedName>
    <definedName name="Vert_T_WP_uit">#REF!</definedName>
    <definedName name="Vert_Tw_ket1_in">#REF!</definedName>
    <definedName name="Vert_Tw_ket1_uit">#REF!</definedName>
    <definedName name="Vert_Tw_klep_in">#REF!</definedName>
    <definedName name="Vert_Tw_klep_uit">#REF!</definedName>
    <definedName name="Vert_V_brgas_m3_h">#REF!</definedName>
    <definedName name="Vert_V_gas_br">#REF!</definedName>
    <definedName name="Vert_V_gas_str1">#REF!</definedName>
    <definedName name="Vert_V_gas_str2">#REF!</definedName>
    <definedName name="Vert_Vw_ket_1">#REF!</definedName>
    <definedName name="Vert_Vw_klep">#REF!</definedName>
    <definedName name="Vert_Vw_WP">#REF!</definedName>
    <definedName name="Vert_WperkW">#REF!</definedName>
    <definedName name="ZGgas">Fysica!$AJ$3:$AN$20</definedName>
    <definedName name="ZHgas">Fysica!$AJ$24:$AN$41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5" i="1" l="1"/>
  <c r="P34" i="1"/>
  <c r="P33" i="1"/>
  <c r="P32" i="1"/>
  <c r="P31" i="1"/>
  <c r="P30" i="1"/>
  <c r="P29" i="1"/>
  <c r="P28" i="1"/>
  <c r="P25" i="1"/>
  <c r="P24" i="1"/>
  <c r="P23" i="1"/>
  <c r="P22" i="1"/>
  <c r="P21" i="1"/>
  <c r="P20" i="1"/>
  <c r="P19" i="1"/>
  <c r="P18" i="1"/>
  <c r="P9" i="1"/>
  <c r="P10" i="1"/>
  <c r="P11" i="1"/>
  <c r="P12" i="1"/>
  <c r="P13" i="1"/>
  <c r="P14" i="1"/>
  <c r="P15" i="1"/>
  <c r="P8" i="1"/>
  <c r="O77" i="10" l="1"/>
  <c r="N77" i="10"/>
  <c r="M77" i="10"/>
  <c r="L77" i="10"/>
  <c r="K77" i="10"/>
  <c r="J77" i="10"/>
  <c r="I77" i="10"/>
  <c r="G77" i="10"/>
  <c r="I60" i="10" l="1"/>
  <c r="J60" i="10"/>
  <c r="K60" i="10"/>
  <c r="L60" i="10"/>
  <c r="M60" i="10"/>
  <c r="N60" i="10"/>
  <c r="O60" i="10"/>
  <c r="G60" i="10"/>
  <c r="I67" i="10"/>
  <c r="J67" i="10"/>
  <c r="K67" i="10"/>
  <c r="L67" i="10"/>
  <c r="M67" i="10"/>
  <c r="N67" i="10"/>
  <c r="O67" i="10"/>
  <c r="G67" i="10"/>
  <c r="G66" i="10"/>
  <c r="O71" i="10" l="1"/>
  <c r="N71" i="10"/>
  <c r="M71" i="10"/>
  <c r="L71" i="10"/>
  <c r="L75" i="10" s="1"/>
  <c r="K71" i="10"/>
  <c r="J71" i="10"/>
  <c r="I71" i="10"/>
  <c r="G71" i="10"/>
  <c r="G75" i="10" s="1"/>
  <c r="O70" i="10"/>
  <c r="N70" i="10"/>
  <c r="M70" i="10"/>
  <c r="L70" i="10"/>
  <c r="L74" i="10" s="1"/>
  <c r="K70" i="10"/>
  <c r="J70" i="10"/>
  <c r="I70" i="10"/>
  <c r="G70" i="10"/>
  <c r="G74" i="10" s="1"/>
  <c r="O69" i="10"/>
  <c r="N69" i="10"/>
  <c r="M69" i="10"/>
  <c r="L69" i="10"/>
  <c r="K69" i="10"/>
  <c r="J69" i="10"/>
  <c r="I69" i="10"/>
  <c r="G69" i="10"/>
  <c r="O68" i="10"/>
  <c r="N68" i="10"/>
  <c r="M68" i="10"/>
  <c r="L68" i="10"/>
  <c r="K68" i="10"/>
  <c r="J68" i="10"/>
  <c r="I68" i="10"/>
  <c r="G68" i="10"/>
  <c r="O66" i="10"/>
  <c r="N66" i="10"/>
  <c r="M66" i="10"/>
  <c r="L66" i="10"/>
  <c r="K66" i="10"/>
  <c r="J66" i="10"/>
  <c r="I66" i="10"/>
  <c r="O65" i="10"/>
  <c r="N65" i="10"/>
  <c r="M65" i="10"/>
  <c r="L65" i="10"/>
  <c r="K65" i="10"/>
  <c r="J65" i="10"/>
  <c r="I65" i="10"/>
  <c r="G65" i="10"/>
  <c r="O64" i="10"/>
  <c r="N64" i="10"/>
  <c r="M64" i="10"/>
  <c r="L64" i="10"/>
  <c r="K64" i="10"/>
  <c r="J64" i="10"/>
  <c r="I64" i="10"/>
  <c r="G64" i="10"/>
  <c r="O63" i="10"/>
  <c r="N63" i="10"/>
  <c r="M63" i="10"/>
  <c r="L63" i="10"/>
  <c r="K63" i="10"/>
  <c r="J63" i="10"/>
  <c r="I63" i="10"/>
  <c r="G63" i="10"/>
  <c r="O62" i="10"/>
  <c r="N62" i="10"/>
  <c r="M62" i="10"/>
  <c r="L62" i="10"/>
  <c r="K62" i="10"/>
  <c r="J62" i="10"/>
  <c r="I62" i="10"/>
  <c r="G62" i="10"/>
  <c r="O61" i="10"/>
  <c r="N61" i="10"/>
  <c r="M61" i="10"/>
  <c r="L61" i="10"/>
  <c r="K61" i="10"/>
  <c r="J61" i="10"/>
  <c r="I61" i="10"/>
  <c r="G61" i="10"/>
  <c r="O59" i="10"/>
  <c r="N59" i="10"/>
  <c r="M59" i="10"/>
  <c r="L59" i="10"/>
  <c r="K59" i="10"/>
  <c r="J59" i="10"/>
  <c r="I59" i="10"/>
  <c r="G59" i="10"/>
  <c r="O58" i="10"/>
  <c r="N58" i="10"/>
  <c r="M58" i="10"/>
  <c r="L58" i="10"/>
  <c r="K58" i="10"/>
  <c r="J58" i="10"/>
  <c r="I58" i="10"/>
  <c r="G58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H3" i="10"/>
  <c r="F3" i="10"/>
  <c r="H2" i="10"/>
  <c r="F2" i="10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A39" i="1"/>
  <c r="AE38" i="1"/>
  <c r="AA38" i="1"/>
  <c r="AE37" i="1"/>
  <c r="AA37" i="1"/>
  <c r="AE36" i="1"/>
  <c r="AA36" i="1"/>
  <c r="AE35" i="1"/>
  <c r="AA35" i="1"/>
  <c r="AE34" i="1"/>
  <c r="AA34" i="1"/>
  <c r="AG28" i="1"/>
  <c r="AI28" i="1" s="1"/>
  <c r="AE33" i="1"/>
  <c r="AA33" i="1"/>
  <c r="AE32" i="1"/>
  <c r="AA32" i="1"/>
  <c r="AG26" i="1"/>
  <c r="AI26" i="1" s="1"/>
  <c r="AE31" i="1"/>
  <c r="AA31" i="1"/>
  <c r="AE30" i="1"/>
  <c r="AA30" i="1"/>
  <c r="AG24" i="1"/>
  <c r="AI24" i="1" s="1"/>
  <c r="AG29" i="1"/>
  <c r="AI29" i="1" s="1"/>
  <c r="AE29" i="1"/>
  <c r="AA29" i="1"/>
  <c r="AG23" i="1"/>
  <c r="AI23" i="1" s="1"/>
  <c r="AE28" i="1"/>
  <c r="AA28" i="1"/>
  <c r="AG27" i="1"/>
  <c r="AI27" i="1" s="1"/>
  <c r="AA27" i="1"/>
  <c r="AA26" i="1"/>
  <c r="AG25" i="1"/>
  <c r="AI25" i="1" s="1"/>
  <c r="AA25" i="1"/>
  <c r="AG19" i="1"/>
  <c r="AA24" i="1"/>
  <c r="AG18" i="1"/>
  <c r="AA23" i="1"/>
  <c r="AG17" i="1"/>
  <c r="AG22" i="1"/>
  <c r="AI22" i="1" s="1"/>
  <c r="AA22" i="1"/>
  <c r="AA21" i="1"/>
  <c r="AG15" i="1"/>
  <c r="AA20" i="1"/>
  <c r="AG14" i="1"/>
  <c r="AG13" i="1"/>
  <c r="AG12" i="1"/>
  <c r="AG16" i="1"/>
  <c r="AH16" i="1" s="1"/>
  <c r="AG5" i="1"/>
  <c r="AG9" i="1"/>
  <c r="AH9" i="1" s="1"/>
  <c r="AG8" i="1"/>
  <c r="AH8" i="1" s="1"/>
  <c r="AG7" i="1"/>
  <c r="AH7" i="1" s="1"/>
  <c r="AG6" i="1"/>
  <c r="AI6" i="1" s="1"/>
  <c r="Z5" i="1"/>
  <c r="N5" i="1"/>
  <c r="L5" i="1"/>
  <c r="AG4" i="1"/>
  <c r="AI4" i="1" s="1"/>
  <c r="Z4" i="1"/>
  <c r="AG3" i="1"/>
  <c r="AI3" i="1" s="1"/>
  <c r="Z3" i="1"/>
  <c r="AG2" i="1"/>
  <c r="AH2" i="1" s="1"/>
  <c r="Z2" i="1"/>
  <c r="Y2" i="1"/>
  <c r="C2" i="1"/>
  <c r="AI2" i="1" l="1"/>
  <c r="AI18" i="1"/>
  <c r="AH18" i="1"/>
  <c r="AI12" i="1"/>
  <c r="AH12" i="1"/>
  <c r="AI13" i="1"/>
  <c r="AH13" i="1"/>
  <c r="AI17" i="1"/>
  <c r="AH17" i="1"/>
  <c r="AI15" i="1"/>
  <c r="AH15" i="1"/>
  <c r="AI14" i="1"/>
  <c r="AH14" i="1"/>
  <c r="AI19" i="1"/>
  <c r="AH19" i="1"/>
  <c r="AI16" i="1"/>
  <c r="AH5" i="1"/>
  <c r="AI5" i="1"/>
  <c r="AH3" i="1"/>
  <c r="AH4" i="1"/>
  <c r="AH6" i="1"/>
  <c r="AI7" i="1"/>
  <c r="AI8" i="1"/>
  <c r="AI9" i="1"/>
  <c r="G76" i="10"/>
  <c r="L76" i="10"/>
  <c r="I76" i="10"/>
  <c r="M76" i="10"/>
  <c r="I74" i="10"/>
  <c r="M74" i="10"/>
  <c r="I75" i="10"/>
  <c r="M75" i="10"/>
  <c r="J76" i="10"/>
  <c r="N76" i="10"/>
  <c r="J74" i="10"/>
  <c r="N74" i="10"/>
  <c r="J75" i="10"/>
  <c r="N75" i="10"/>
  <c r="K76" i="10"/>
  <c r="O76" i="10"/>
  <c r="K74" i="10"/>
  <c r="O74" i="10"/>
  <c r="K75" i="10"/>
  <c r="O75" i="10"/>
  <c r="L73" i="10"/>
  <c r="I73" i="10"/>
  <c r="M73" i="10"/>
  <c r="G73" i="10"/>
  <c r="J73" i="10"/>
  <c r="N73" i="10"/>
  <c r="K73" i="10"/>
  <c r="O73" i="10"/>
  <c r="B26" i="10" a="1"/>
  <c r="AC31" i="1"/>
  <c r="D24" i="10" a="1"/>
  <c r="D45" i="10" a="1"/>
  <c r="C45" i="10" a="1"/>
  <c r="AC40" i="1"/>
  <c r="AC36" i="1"/>
  <c r="B18" i="10" a="1"/>
  <c r="C37" i="10" a="1"/>
  <c r="C25" i="10" a="1"/>
  <c r="C34" i="10" a="1"/>
  <c r="AA2" i="1"/>
  <c r="C38" i="10" a="1"/>
  <c r="AC26" i="1"/>
  <c r="B11" i="10" a="1"/>
  <c r="AC50" i="1"/>
  <c r="C11" i="10" a="1"/>
  <c r="AB24" i="1"/>
  <c r="C21" i="10" a="1"/>
  <c r="C23" i="10" a="1"/>
  <c r="D14" i="10" a="1"/>
  <c r="AB40" i="1"/>
  <c r="D44" i="10" a="1"/>
  <c r="B52" i="10" a="1"/>
  <c r="C30" i="10" a="1"/>
  <c r="AB14" i="1"/>
  <c r="D47" i="10" a="1"/>
  <c r="B22" i="10" a="1"/>
  <c r="C12" i="10" a="1"/>
  <c r="AB38" i="1"/>
  <c r="AB26" i="1"/>
  <c r="B21" i="10" a="1"/>
  <c r="B30" i="10" a="1"/>
  <c r="C15" i="10" a="1"/>
  <c r="C27" i="10" a="1"/>
  <c r="C52" i="10" a="1"/>
  <c r="AB15" i="1"/>
  <c r="AC15" i="1"/>
  <c r="U2" i="1"/>
  <c r="B13" i="10" a="1"/>
  <c r="AB49" i="1"/>
  <c r="C18" i="10" a="1"/>
  <c r="C55" i="10" a="1"/>
  <c r="B56" i="10" a="1"/>
  <c r="C40" i="10" a="1"/>
  <c r="D28" i="10" a="1"/>
  <c r="AB50" i="1"/>
  <c r="AC37" i="1"/>
  <c r="AC14" i="1"/>
  <c r="D34" i="10" a="1"/>
  <c r="D36" i="10" a="1"/>
  <c r="B49" i="10" a="1"/>
  <c r="B9" i="10" a="1"/>
  <c r="D22" i="10" a="1"/>
  <c r="AC45" i="1"/>
  <c r="C6" i="10" a="1"/>
  <c r="AB7" i="1"/>
  <c r="D17" i="10" a="1"/>
  <c r="D15" i="10" a="1"/>
  <c r="D7" i="10" a="1"/>
  <c r="D39" i="10" a="1"/>
  <c r="AB11" i="1"/>
  <c r="D30" i="10" a="1"/>
  <c r="D13" i="10" a="1"/>
  <c r="D19" i="10" a="1"/>
  <c r="AB13" i="1"/>
  <c r="C13" i="10" a="1"/>
  <c r="B53" i="10" a="1"/>
  <c r="B36" i="10" a="1"/>
  <c r="C41" i="10" a="1"/>
  <c r="B35" i="10" a="1"/>
  <c r="D37" i="10" a="1"/>
  <c r="AC9" i="1"/>
  <c r="D8" i="10" a="1"/>
  <c r="D10" i="10" a="1"/>
  <c r="B14" i="10" a="1"/>
  <c r="AB22" i="1"/>
  <c r="AB20" i="1"/>
  <c r="C54" i="10" a="1"/>
  <c r="AC46" i="1"/>
  <c r="B50" i="10" a="1"/>
  <c r="B38" i="10" a="1"/>
  <c r="AC39" i="1"/>
  <c r="AB19" i="1"/>
  <c r="AB45" i="1"/>
  <c r="AC30" i="1"/>
  <c r="AB18" i="1"/>
  <c r="AC22" i="1"/>
  <c r="AC23" i="1"/>
  <c r="C28" i="10" a="1"/>
  <c r="AB32" i="1"/>
  <c r="AB4" i="1"/>
  <c r="D9" i="10" a="1"/>
  <c r="B41" i="10" a="1"/>
  <c r="D21" i="10" a="1"/>
  <c r="AB10" i="1"/>
  <c r="AB44" i="1"/>
  <c r="D38" i="10" a="1"/>
  <c r="C43" i="10" a="1"/>
  <c r="AB5" i="1"/>
  <c r="AC48" i="1"/>
  <c r="D51" i="10" a="1"/>
  <c r="D29" i="10" a="1"/>
  <c r="AC28" i="1"/>
  <c r="AC33" i="1"/>
  <c r="AC44" i="1"/>
  <c r="C47" i="10" a="1"/>
  <c r="B25" i="10" a="1"/>
  <c r="C46" i="10" a="1"/>
  <c r="D16" i="10" a="1"/>
  <c r="C42" i="10" a="1"/>
  <c r="AC32" i="1"/>
  <c r="B16" i="10" a="1"/>
  <c r="D52" i="10" a="1"/>
  <c r="AC27" i="1"/>
  <c r="B34" i="10" a="1"/>
  <c r="B12" i="10" a="1"/>
  <c r="AB46" i="1"/>
  <c r="AC5" i="1"/>
  <c r="D26" i="10" a="1"/>
  <c r="AC38" i="1"/>
  <c r="B20" i="10" a="1"/>
  <c r="C33" i="10" a="1"/>
  <c r="B24" i="10" a="1"/>
  <c r="AB31" i="1"/>
  <c r="C56" i="10" a="1"/>
  <c r="AB9" i="1"/>
  <c r="AC18" i="1"/>
  <c r="C9" i="10" a="1"/>
  <c r="AB3" i="1"/>
  <c r="B10" i="10" a="1"/>
  <c r="B7" i="10" a="1"/>
  <c r="D35" i="10" a="1"/>
  <c r="C32" i="10" a="1"/>
  <c r="AB34" i="1"/>
  <c r="AB2" i="1"/>
  <c r="D53" i="10" a="1"/>
  <c r="AB23" i="1"/>
  <c r="D55" i="10" a="1"/>
  <c r="B27" i="10" a="1"/>
  <c r="AC16" i="1"/>
  <c r="AB48" i="1"/>
  <c r="B42" i="10" a="1"/>
  <c r="D50" i="10" a="1"/>
  <c r="D48" i="10" a="1"/>
  <c r="B51" i="10" a="1"/>
  <c r="C20" i="10" a="1"/>
  <c r="AC41" i="1"/>
  <c r="B17" i="10" a="1"/>
  <c r="AC20" i="1"/>
  <c r="AC3" i="1"/>
  <c r="C22" i="10" a="1"/>
  <c r="D25" i="10" a="1"/>
  <c r="D54" i="10" a="1"/>
  <c r="C5" i="10" a="1"/>
  <c r="AB47" i="1"/>
  <c r="AC29" i="1"/>
  <c r="B37" i="10" a="1"/>
  <c r="B32" i="10" a="1"/>
  <c r="AC4" i="1"/>
  <c r="B28" i="10" a="1"/>
  <c r="AC47" i="1"/>
  <c r="B39" i="10" a="1"/>
  <c r="B33" i="10" a="1"/>
  <c r="B47" i="10" a="1"/>
  <c r="AB27" i="1"/>
  <c r="D56" i="10" a="1"/>
  <c r="B43" i="10" a="1"/>
  <c r="C16" i="10" a="1"/>
  <c r="D46" i="10" a="1"/>
  <c r="C29" i="10" a="1"/>
  <c r="C35" i="10" a="1"/>
  <c r="AC25" i="1"/>
  <c r="AB6" i="1"/>
  <c r="B55" i="10" a="1"/>
  <c r="AC11" i="1"/>
  <c r="C49" i="10" a="1"/>
  <c r="AB41" i="1"/>
  <c r="AC19" i="1"/>
  <c r="C26" i="10" a="1"/>
  <c r="AC8" i="1"/>
  <c r="AB35" i="1"/>
  <c r="D27" i="10" a="1"/>
  <c r="D5" i="10" a="1"/>
  <c r="B8" i="10" a="1"/>
  <c r="B19" i="10" a="1"/>
  <c r="AB36" i="1"/>
  <c r="AB8" i="1"/>
  <c r="D23" i="10" a="1"/>
  <c r="C10" i="10" a="1"/>
  <c r="AC17" i="1"/>
  <c r="C48" i="10" a="1"/>
  <c r="B45" i="10" a="1"/>
  <c r="AB39" i="1"/>
  <c r="AB29" i="1"/>
  <c r="C14" i="10" a="1"/>
  <c r="AB28" i="1"/>
  <c r="AC12" i="1"/>
  <c r="AB37" i="1"/>
  <c r="AC21" i="1"/>
  <c r="D32" i="10" a="1"/>
  <c r="AB16" i="1"/>
  <c r="C36" i="10" a="1"/>
  <c r="C39" i="10" a="1"/>
  <c r="D11" i="10" a="1"/>
  <c r="D41" i="10" a="1"/>
  <c r="AB30" i="1"/>
  <c r="AC6" i="1"/>
  <c r="B48" i="10" a="1"/>
  <c r="D18" i="10" a="1"/>
  <c r="C8" i="10" a="1"/>
  <c r="AC43" i="1"/>
  <c r="D31" i="10" a="1"/>
  <c r="AB12" i="1"/>
  <c r="B5" i="10" a="1"/>
  <c r="D42" i="10" a="1"/>
  <c r="B15" i="10" a="1"/>
  <c r="C19" i="10" a="1"/>
  <c r="AB33" i="1"/>
  <c r="AC35" i="1"/>
  <c r="AC24" i="1"/>
  <c r="AB43" i="1"/>
  <c r="D43" i="10" a="1"/>
  <c r="C51" i="10" a="1"/>
  <c r="D33" i="10" a="1"/>
  <c r="C44" i="10" a="1"/>
  <c r="AB25" i="1"/>
  <c r="B23" i="10" a="1"/>
  <c r="B6" i="10" a="1"/>
  <c r="C53" i="10" a="1"/>
  <c r="AC10" i="1"/>
  <c r="B44" i="10" a="1"/>
  <c r="C50" i="10" a="1"/>
  <c r="D6" i="10" a="1"/>
  <c r="AC7" i="1"/>
  <c r="AB42" i="1"/>
  <c r="B54" i="10" a="1"/>
  <c r="AC34" i="1"/>
  <c r="D20" i="10" a="1"/>
  <c r="B31" i="10" a="1"/>
  <c r="C17" i="10" a="1"/>
  <c r="D12" i="10" a="1"/>
  <c r="B46" i="10" a="1"/>
  <c r="AC42" i="1"/>
  <c r="C31" i="10" a="1"/>
  <c r="AC2" i="1"/>
  <c r="AC13" i="1"/>
  <c r="B40" i="10" a="1"/>
  <c r="C7" i="10" a="1"/>
  <c r="AB21" i="1"/>
  <c r="AC49" i="1"/>
  <c r="C24" i="10" a="1"/>
  <c r="B29" i="10" a="1"/>
  <c r="AB17" i="1"/>
  <c r="D49" i="10" a="1"/>
  <c r="D40" i="10" a="1"/>
  <c r="D55" i="10" l="1"/>
  <c r="C5" i="10"/>
  <c r="B7" i="10"/>
  <c r="D31" i="10"/>
  <c r="B5" i="10"/>
  <c r="D49" i="10"/>
  <c r="C15" i="10"/>
  <c r="D52" i="10"/>
  <c r="C17" i="10"/>
  <c r="C35" i="10"/>
  <c r="D54" i="10"/>
  <c r="C53" i="10"/>
  <c r="C6" i="10"/>
  <c r="B10" i="10"/>
  <c r="B34" i="10"/>
  <c r="D21" i="10"/>
  <c r="B30" i="10"/>
  <c r="B16" i="10"/>
  <c r="C41" i="10"/>
  <c r="D5" i="10"/>
  <c r="B11" i="10"/>
  <c r="B54" i="10"/>
  <c r="D25" i="10"/>
  <c r="B6" i="10"/>
  <c r="C54" i="10"/>
  <c r="D13" i="10"/>
  <c r="C8" i="10"/>
  <c r="B45" i="10"/>
  <c r="B21" i="10"/>
  <c r="B43" i="10"/>
  <c r="D38" i="10"/>
  <c r="C22" i="10"/>
  <c r="B23" i="10"/>
  <c r="C31" i="10"/>
  <c r="B13" i="10"/>
  <c r="D22" i="10"/>
  <c r="C9" i="10"/>
  <c r="D18" i="10"/>
  <c r="Z7" i="1"/>
  <c r="A3" i="10" s="1"/>
  <c r="P1" i="10" s="1"/>
  <c r="B41" i="10"/>
  <c r="C42" i="10"/>
  <c r="B36" i="10"/>
  <c r="C38" i="10"/>
  <c r="C49" i="10"/>
  <c r="B9" i="10"/>
  <c r="B48" i="10"/>
  <c r="B28" i="10"/>
  <c r="C48" i="10"/>
  <c r="D16" i="10"/>
  <c r="D56" i="10"/>
  <c r="D27" i="10"/>
  <c r="I4" i="10"/>
  <c r="I1" i="10" s="1"/>
  <c r="B4" i="1"/>
  <c r="C2" i="10" s="1"/>
  <c r="D30" i="10"/>
  <c r="C44" i="10"/>
  <c r="B49" i="10"/>
  <c r="D53" i="10"/>
  <c r="D9" i="10"/>
  <c r="C12" i="10"/>
  <c r="C46" i="10"/>
  <c r="C14" i="10"/>
  <c r="B53" i="10"/>
  <c r="C34" i="10"/>
  <c r="C29" i="10"/>
  <c r="B17" i="10"/>
  <c r="D33" i="10"/>
  <c r="D36" i="10"/>
  <c r="C56" i="10"/>
  <c r="C11" i="10"/>
  <c r="B22" i="10"/>
  <c r="B25" i="10"/>
  <c r="B31" i="10"/>
  <c r="C7" i="10"/>
  <c r="C25" i="10"/>
  <c r="C51" i="10"/>
  <c r="D40" i="10"/>
  <c r="D34" i="10"/>
  <c r="D41" i="10"/>
  <c r="D47" i="10"/>
  <c r="C47" i="10"/>
  <c r="D12" i="10"/>
  <c r="C13" i="10"/>
  <c r="C37" i="10"/>
  <c r="B32" i="10"/>
  <c r="C20" i="10"/>
  <c r="D43" i="10"/>
  <c r="B24" i="10"/>
  <c r="D11" i="10"/>
  <c r="D39" i="10"/>
  <c r="Z6" i="1"/>
  <c r="B18" i="10"/>
  <c r="B51" i="10"/>
  <c r="B55" i="10"/>
  <c r="C33" i="10"/>
  <c r="C39" i="10"/>
  <c r="D37" i="10"/>
  <c r="C10" i="10"/>
  <c r="C30" i="10"/>
  <c r="B19" i="10"/>
  <c r="D20" i="10"/>
  <c r="B37" i="10"/>
  <c r="D48" i="10"/>
  <c r="B14" i="10"/>
  <c r="D6" i="10"/>
  <c r="B20" i="10"/>
  <c r="C36" i="10"/>
  <c r="D7" i="10"/>
  <c r="B29" i="10"/>
  <c r="B52" i="10"/>
  <c r="B47" i="10"/>
  <c r="B40" i="10"/>
  <c r="D50" i="10"/>
  <c r="B46" i="10"/>
  <c r="D28" i="10"/>
  <c r="D46" i="10"/>
  <c r="D44" i="10"/>
  <c r="D29" i="10"/>
  <c r="B38" i="10"/>
  <c r="C45" i="10"/>
  <c r="B42" i="10"/>
  <c r="C50" i="10"/>
  <c r="C40" i="10"/>
  <c r="D26" i="10"/>
  <c r="D32" i="10"/>
  <c r="D15" i="10"/>
  <c r="D23" i="10"/>
  <c r="D51" i="10"/>
  <c r="C32" i="10"/>
  <c r="B33" i="10"/>
  <c r="C26" i="10"/>
  <c r="D45" i="10"/>
  <c r="C19" i="10"/>
  <c r="D10" i="10"/>
  <c r="C52" i="10"/>
  <c r="B56" i="10"/>
  <c r="B35" i="10"/>
  <c r="C28" i="10"/>
  <c r="D14" i="10"/>
  <c r="D19" i="10"/>
  <c r="D24" i="10"/>
  <c r="B15" i="10"/>
  <c r="D8" i="10"/>
  <c r="B44" i="10"/>
  <c r="C55" i="10"/>
  <c r="D17" i="10"/>
  <c r="C23" i="10"/>
  <c r="D35" i="10"/>
  <c r="B50" i="10"/>
  <c r="B27" i="10"/>
  <c r="D42" i="10"/>
  <c r="C27" i="10"/>
  <c r="C18" i="10"/>
  <c r="B12" i="10"/>
  <c r="C16" i="10"/>
  <c r="C24" i="10"/>
  <c r="C21" i="10"/>
  <c r="C43" i="10"/>
  <c r="B8" i="10"/>
  <c r="B39" i="10"/>
  <c r="B26" i="10"/>
  <c r="AH26" i="1" l="1"/>
  <c r="T3" i="1"/>
  <c r="A2" i="10"/>
  <c r="AH27" i="1"/>
  <c r="AH28" i="1"/>
  <c r="AH25" i="1"/>
  <c r="AH29" i="1"/>
  <c r="AH22" i="1"/>
  <c r="AI1" i="1"/>
  <c r="AH24" i="1"/>
  <c r="AH23" i="1"/>
  <c r="E27" i="10"/>
  <c r="F23" i="10"/>
  <c r="F37" i="10"/>
  <c r="E30" i="10"/>
  <c r="H42" i="10"/>
  <c r="G53" i="10"/>
  <c r="E36" i="10"/>
  <c r="F9" i="10"/>
  <c r="E18" i="10"/>
  <c r="H13" i="10"/>
  <c r="E17" i="10"/>
  <c r="F17" i="10"/>
  <c r="H15" i="10"/>
  <c r="E54" i="10"/>
  <c r="E53" i="10"/>
  <c r="E8" i="10"/>
  <c r="E51" i="10"/>
  <c r="F29" i="10"/>
  <c r="E16" i="10"/>
  <c r="G48" i="10"/>
  <c r="F42" i="10"/>
  <c r="G51" i="10"/>
  <c r="U3" i="1"/>
  <c r="E33" i="10"/>
  <c r="G40" i="10"/>
  <c r="G50" i="10"/>
  <c r="G5" i="10"/>
  <c r="F14" i="10"/>
  <c r="G38" i="10"/>
  <c r="F12" i="10"/>
  <c r="H45" i="10"/>
  <c r="E24" i="10"/>
  <c r="H43" i="10"/>
  <c r="H8" i="10"/>
  <c r="F44" i="10"/>
  <c r="F47" i="10"/>
  <c r="H16" i="10"/>
  <c r="E7" i="10"/>
  <c r="E28" i="10"/>
  <c r="G13" i="10"/>
  <c r="E44" i="10"/>
  <c r="H41" i="10"/>
  <c r="G6" i="10"/>
  <c r="H55" i="10"/>
  <c r="H21" i="10"/>
  <c r="G55" i="10"/>
  <c r="G15" i="10"/>
  <c r="G14" i="10"/>
  <c r="F16" i="10"/>
  <c r="H32" i="10"/>
  <c r="H31" i="10"/>
  <c r="H35" i="10"/>
  <c r="F6" i="10"/>
  <c r="H28" i="10"/>
  <c r="I3" i="10" a="1"/>
  <c r="I3" i="10" l="1"/>
  <c r="AA3" i="1"/>
  <c r="J4" i="10" s="1"/>
  <c r="J1" i="10" s="1"/>
  <c r="T4" i="1"/>
  <c r="F32" i="10"/>
  <c r="F43" i="10"/>
  <c r="E41" i="10"/>
  <c r="H9" i="10"/>
  <c r="E19" i="10"/>
  <c r="E56" i="10"/>
  <c r="H10" i="10"/>
  <c r="H33" i="10"/>
  <c r="E12" i="10"/>
  <c r="E6" i="10"/>
  <c r="G11" i="10"/>
  <c r="E50" i="10"/>
  <c r="F25" i="10"/>
  <c r="H52" i="10"/>
  <c r="H29" i="10"/>
  <c r="F55" i="10"/>
  <c r="H49" i="10"/>
  <c r="F34" i="10"/>
  <c r="F5" i="10"/>
  <c r="H20" i="10"/>
  <c r="E47" i="10"/>
  <c r="H39" i="10"/>
  <c r="E31" i="10"/>
  <c r="H6" i="10"/>
  <c r="F41" i="10"/>
  <c r="F56" i="10"/>
  <c r="E38" i="10"/>
  <c r="H48" i="10"/>
  <c r="E26" i="10"/>
  <c r="H51" i="10"/>
  <c r="F22" i="10"/>
  <c r="G28" i="10"/>
  <c r="H37" i="10"/>
  <c r="G54" i="10"/>
  <c r="E32" i="10"/>
  <c r="G31" i="10"/>
  <c r="E39" i="10"/>
  <c r="H12" i="10"/>
  <c r="E25" i="10"/>
  <c r="G37" i="10"/>
  <c r="H53" i="10"/>
  <c r="H25" i="10"/>
  <c r="H11" i="10"/>
  <c r="G35" i="10"/>
  <c r="F48" i="10"/>
  <c r="F15" i="10"/>
  <c r="H47" i="10"/>
  <c r="F46" i="10"/>
  <c r="E34" i="10"/>
  <c r="H30" i="10"/>
  <c r="H23" i="10"/>
  <c r="H14" i="10"/>
  <c r="F30" i="10"/>
  <c r="G56" i="10"/>
  <c r="E5" i="10"/>
  <c r="E13" i="10"/>
  <c r="G33" i="10"/>
  <c r="H36" i="10"/>
  <c r="H26" i="10"/>
  <c r="G23" i="10"/>
  <c r="F7" i="10"/>
  <c r="G16" i="10"/>
  <c r="G36" i="10"/>
  <c r="F51" i="10"/>
  <c r="G18" i="10"/>
  <c r="F52" i="10"/>
  <c r="G43" i="10"/>
  <c r="G32" i="10"/>
  <c r="E45" i="10"/>
  <c r="F33" i="10"/>
  <c r="F50" i="10"/>
  <c r="E23" i="10"/>
  <c r="E43" i="10"/>
  <c r="G12" i="10"/>
  <c r="H50" i="10"/>
  <c r="F18" i="10"/>
  <c r="E49" i="10"/>
  <c r="E22" i="10"/>
  <c r="H19" i="10"/>
  <c r="J3" i="10" a="1"/>
  <c r="H5" i="10"/>
  <c r="G20" i="10"/>
  <c r="F49" i="10"/>
  <c r="G41" i="10"/>
  <c r="E55" i="10"/>
  <c r="G9" i="10"/>
  <c r="H44" i="10"/>
  <c r="G21" i="10"/>
  <c r="F28" i="10"/>
  <c r="F11" i="10"/>
  <c r="H34" i="10"/>
  <c r="H24" i="10"/>
  <c r="F45" i="10"/>
  <c r="F54" i="10"/>
  <c r="E29" i="10"/>
  <c r="E37" i="10"/>
  <c r="F40" i="10"/>
  <c r="H17" i="10"/>
  <c r="G46" i="10"/>
  <c r="H22" i="10"/>
  <c r="F39" i="10"/>
  <c r="F27" i="10"/>
  <c r="F53" i="10"/>
  <c r="F24" i="10"/>
  <c r="F31" i="10"/>
  <c r="F36" i="10"/>
  <c r="G26" i="10"/>
  <c r="G47" i="10"/>
  <c r="E42" i="10"/>
  <c r="G22" i="10"/>
  <c r="G34" i="10"/>
  <c r="G39" i="10"/>
  <c r="E46" i="10"/>
  <c r="H18" i="10"/>
  <c r="G49" i="10"/>
  <c r="E48" i="10"/>
  <c r="E10" i="10"/>
  <c r="E11" i="10"/>
  <c r="G8" i="10"/>
  <c r="G19" i="10"/>
  <c r="F21" i="10"/>
  <c r="F26" i="10"/>
  <c r="G25" i="10"/>
  <c r="G7" i="10"/>
  <c r="H54" i="10"/>
  <c r="G44" i="10"/>
  <c r="F38" i="10"/>
  <c r="H46" i="10"/>
  <c r="E15" i="10"/>
  <c r="F19" i="10"/>
  <c r="H7" i="10"/>
  <c r="G27" i="10"/>
  <c r="E20" i="10"/>
  <c r="E14" i="10"/>
  <c r="F35" i="10"/>
  <c r="G42" i="10"/>
  <c r="G52" i="10"/>
  <c r="H56" i="10"/>
  <c r="H40" i="10"/>
  <c r="H38" i="10"/>
  <c r="E9" i="10"/>
  <c r="F20" i="10"/>
  <c r="G29" i="10"/>
  <c r="E21" i="10"/>
  <c r="E35" i="10"/>
  <c r="F10" i="10"/>
  <c r="E40" i="10"/>
  <c r="G10" i="10"/>
  <c r="F13" i="10"/>
  <c r="H27" i="10"/>
  <c r="G30" i="10"/>
  <c r="G17" i="10"/>
  <c r="G45" i="10"/>
  <c r="F8" i="10"/>
  <c r="E52" i="10"/>
  <c r="G24" i="10"/>
  <c r="J3" i="10" l="1"/>
  <c r="AA4" i="1"/>
  <c r="K4" i="10" s="1"/>
  <c r="I31" i="10"/>
  <c r="I53" i="10"/>
  <c r="I6" i="10"/>
  <c r="I48" i="10"/>
  <c r="U4" i="1"/>
  <c r="I19" i="10"/>
  <c r="I5" i="10"/>
  <c r="I29" i="10"/>
  <c r="I14" i="10"/>
  <c r="I20" i="10"/>
  <c r="I43" i="10"/>
  <c r="I45" i="10"/>
  <c r="I12" i="10"/>
  <c r="I34" i="10"/>
  <c r="I21" i="10"/>
  <c r="I25" i="10"/>
  <c r="I28" i="10"/>
  <c r="I13" i="10"/>
  <c r="I38" i="10"/>
  <c r="I47" i="10"/>
  <c r="I30" i="10"/>
  <c r="I54" i="10"/>
  <c r="I32" i="10"/>
  <c r="I11" i="10"/>
  <c r="I8" i="10"/>
  <c r="I55" i="10"/>
  <c r="I44" i="10"/>
  <c r="I7" i="10"/>
  <c r="I27" i="10"/>
  <c r="I36" i="10"/>
  <c r="I33" i="10"/>
  <c r="I46" i="10"/>
  <c r="I18" i="10"/>
  <c r="I15" i="10"/>
  <c r="I17" i="10"/>
  <c r="I49" i="10"/>
  <c r="I22" i="10"/>
  <c r="I56" i="10"/>
  <c r="I52" i="10"/>
  <c r="I42" i="10"/>
  <c r="I37" i="10"/>
  <c r="I10" i="10"/>
  <c r="I40" i="10"/>
  <c r="I51" i="10"/>
  <c r="I41" i="10"/>
  <c r="I16" i="10"/>
  <c r="I9" i="10"/>
  <c r="I24" i="10"/>
  <c r="I26" i="10"/>
  <c r="I35" i="10"/>
  <c r="I39" i="10"/>
  <c r="I23" i="10"/>
  <c r="I50" i="10"/>
  <c r="T5" i="1" l="1"/>
  <c r="K1" i="10"/>
  <c r="K3" i="10" a="1"/>
  <c r="K3" i="10" l="1"/>
  <c r="AA5" i="1"/>
  <c r="L4" i="10" s="1"/>
  <c r="J23" i="10"/>
  <c r="J7" i="10"/>
  <c r="J11" i="10"/>
  <c r="J18" i="10"/>
  <c r="J40" i="10"/>
  <c r="J48" i="10"/>
  <c r="J34" i="10"/>
  <c r="U5" i="1"/>
  <c r="J26" i="10"/>
  <c r="J19" i="10"/>
  <c r="J39" i="10"/>
  <c r="J38" i="10"/>
  <c r="J31" i="10"/>
  <c r="J44" i="10"/>
  <c r="J9" i="10"/>
  <c r="J41" i="10"/>
  <c r="J56" i="10"/>
  <c r="J20" i="10"/>
  <c r="J27" i="10"/>
  <c r="J22" i="10"/>
  <c r="J53" i="10"/>
  <c r="J52" i="10"/>
  <c r="J15" i="10"/>
  <c r="J21" i="10"/>
  <c r="J33" i="10"/>
  <c r="J45" i="10"/>
  <c r="J47" i="10"/>
  <c r="J32" i="10"/>
  <c r="J28" i="10"/>
  <c r="J50" i="10"/>
  <c r="J55" i="10"/>
  <c r="J43" i="10"/>
  <c r="J35" i="10"/>
  <c r="J6" i="10"/>
  <c r="J10" i="10"/>
  <c r="J49" i="10"/>
  <c r="J25" i="10"/>
  <c r="J42" i="10"/>
  <c r="J12" i="10"/>
  <c r="J17" i="10"/>
  <c r="J46" i="10"/>
  <c r="J16" i="10"/>
  <c r="J14" i="10"/>
  <c r="J5" i="10"/>
  <c r="J24" i="10"/>
  <c r="J30" i="10"/>
  <c r="J51" i="10"/>
  <c r="J29" i="10"/>
  <c r="J8" i="10"/>
  <c r="J37" i="10"/>
  <c r="J13" i="10"/>
  <c r="J36" i="10"/>
  <c r="J54" i="10"/>
  <c r="T6" i="1" l="1"/>
  <c r="Q3" i="10"/>
  <c r="L1" i="10"/>
  <c r="L3" i="10" a="1"/>
  <c r="L3" i="10" l="1"/>
  <c r="AA6" i="1"/>
  <c r="M4" i="10" s="1"/>
  <c r="K23" i="10"/>
  <c r="K50" i="10"/>
  <c r="K8" i="10"/>
  <c r="K52" i="10"/>
  <c r="K24" i="10"/>
  <c r="K26" i="10"/>
  <c r="K48" i="10"/>
  <c r="K12" i="10"/>
  <c r="K42" i="10"/>
  <c r="K5" i="10"/>
  <c r="K41" i="10"/>
  <c r="K45" i="10"/>
  <c r="K27" i="10"/>
  <c r="K29" i="10"/>
  <c r="K56" i="10"/>
  <c r="K53" i="10"/>
  <c r="K37" i="10"/>
  <c r="K51" i="10"/>
  <c r="K7" i="10"/>
  <c r="K20" i="10"/>
  <c r="K19" i="10"/>
  <c r="K9" i="10"/>
  <c r="K25" i="10"/>
  <c r="K28" i="10"/>
  <c r="K43" i="10"/>
  <c r="K36" i="10"/>
  <c r="K46" i="10"/>
  <c r="K49" i="10"/>
  <c r="K54" i="10"/>
  <c r="K38" i="10"/>
  <c r="K44" i="10"/>
  <c r="K10" i="10"/>
  <c r="K34" i="10"/>
  <c r="K33" i="10"/>
  <c r="K40" i="10"/>
  <c r="U6" i="1"/>
  <c r="K55" i="10"/>
  <c r="K13" i="10"/>
  <c r="K14" i="10"/>
  <c r="K15" i="10"/>
  <c r="K31" i="10"/>
  <c r="K22" i="10"/>
  <c r="K39" i="10"/>
  <c r="K6" i="10"/>
  <c r="K18" i="10"/>
  <c r="K47" i="10"/>
  <c r="K17" i="10"/>
  <c r="K16" i="10"/>
  <c r="K30" i="10"/>
  <c r="K32" i="10"/>
  <c r="K11" i="10"/>
  <c r="K35" i="10"/>
  <c r="K21" i="10"/>
  <c r="T7" i="1" l="1"/>
  <c r="M1" i="10"/>
  <c r="M3" i="10" a="1"/>
  <c r="M3" i="10" l="1"/>
  <c r="AA7" i="1"/>
  <c r="N4" i="10" s="1"/>
  <c r="L8" i="10"/>
  <c r="L20" i="10"/>
  <c r="L19" i="10"/>
  <c r="L14" i="10"/>
  <c r="L21" i="10"/>
  <c r="L17" i="10"/>
  <c r="L10" i="10"/>
  <c r="L52" i="10"/>
  <c r="L34" i="10"/>
  <c r="L13" i="10"/>
  <c r="L47" i="10"/>
  <c r="L36" i="10"/>
  <c r="L27" i="10"/>
  <c r="L49" i="10"/>
  <c r="L18" i="10"/>
  <c r="L23" i="10"/>
  <c r="L40" i="10"/>
  <c r="L44" i="10"/>
  <c r="L6" i="10"/>
  <c r="L41" i="10"/>
  <c r="L32" i="10"/>
  <c r="L38" i="10"/>
  <c r="L26" i="10"/>
  <c r="L42" i="10"/>
  <c r="L9" i="10"/>
  <c r="L29" i="10"/>
  <c r="L28" i="10"/>
  <c r="L5" i="10"/>
  <c r="L22" i="10"/>
  <c r="L43" i="10"/>
  <c r="L12" i="10"/>
  <c r="L16" i="10"/>
  <c r="L48" i="10"/>
  <c r="L37" i="10"/>
  <c r="L53" i="10"/>
  <c r="L25" i="10"/>
  <c r="L54" i="10"/>
  <c r="L50" i="10"/>
  <c r="L33" i="10"/>
  <c r="L30" i="10"/>
  <c r="L55" i="10"/>
  <c r="L39" i="10"/>
  <c r="L15" i="10"/>
  <c r="L35" i="10"/>
  <c r="L56" i="10"/>
  <c r="L45" i="10"/>
  <c r="L46" i="10"/>
  <c r="L24" i="10"/>
  <c r="L31" i="10"/>
  <c r="U7" i="1"/>
  <c r="L11" i="10"/>
  <c r="L51" i="10"/>
  <c r="L7" i="10"/>
  <c r="T8" i="1" l="1"/>
  <c r="N1" i="10"/>
  <c r="N3" i="10" a="1"/>
  <c r="N3" i="10" l="1"/>
  <c r="AA8" i="1"/>
  <c r="O4" i="10" s="1"/>
  <c r="M48" i="10"/>
  <c r="M45" i="10"/>
  <c r="M50" i="10"/>
  <c r="M36" i="10"/>
  <c r="M43" i="10"/>
  <c r="M39" i="10"/>
  <c r="M33" i="10"/>
  <c r="M25" i="10"/>
  <c r="M30" i="10"/>
  <c r="M47" i="10"/>
  <c r="M18" i="10"/>
  <c r="M23" i="10"/>
  <c r="M54" i="10"/>
  <c r="M24" i="10"/>
  <c r="M49" i="10"/>
  <c r="M52" i="10"/>
  <c r="M22" i="10"/>
  <c r="M56" i="10"/>
  <c r="U8" i="1"/>
  <c r="M31" i="10"/>
  <c r="M13" i="10"/>
  <c r="M55" i="10"/>
  <c r="M14" i="10"/>
  <c r="M17" i="10"/>
  <c r="M41" i="10"/>
  <c r="M19" i="10"/>
  <c r="M35" i="10"/>
  <c r="M7" i="10"/>
  <c r="M26" i="10"/>
  <c r="M5" i="10"/>
  <c r="M46" i="10"/>
  <c r="M53" i="10"/>
  <c r="M42" i="10"/>
  <c r="M12" i="10"/>
  <c r="M29" i="10"/>
  <c r="M15" i="10"/>
  <c r="M32" i="10"/>
  <c r="M16" i="10"/>
  <c r="M21" i="10"/>
  <c r="M38" i="10"/>
  <c r="M34" i="10"/>
  <c r="M8" i="10"/>
  <c r="M51" i="10"/>
  <c r="M10" i="10"/>
  <c r="M37" i="10"/>
  <c r="M28" i="10"/>
  <c r="M40" i="10"/>
  <c r="M27" i="10"/>
  <c r="M44" i="10"/>
  <c r="M20" i="10"/>
  <c r="M9" i="10"/>
  <c r="M11" i="10"/>
  <c r="M6" i="10"/>
  <c r="T9" i="1" l="1"/>
  <c r="O1" i="10"/>
  <c r="O3" i="10" a="1"/>
  <c r="O3" i="10" l="1"/>
  <c r="AA9" i="1"/>
  <c r="N52" i="10"/>
  <c r="N54" i="10"/>
  <c r="N20" i="10"/>
  <c r="O39" i="10"/>
  <c r="N18" i="10"/>
  <c r="O25" i="10"/>
  <c r="N5" i="10"/>
  <c r="N16" i="10"/>
  <c r="N47" i="10"/>
  <c r="N55" i="10"/>
  <c r="N53" i="10"/>
  <c r="N40" i="10"/>
  <c r="N56" i="10"/>
  <c r="O47" i="10"/>
  <c r="O44" i="10"/>
  <c r="O32" i="10"/>
  <c r="O20" i="10"/>
  <c r="O51" i="10"/>
  <c r="O49" i="10"/>
  <c r="N43" i="10"/>
  <c r="N9" i="10"/>
  <c r="N42" i="10"/>
  <c r="O55" i="10"/>
  <c r="O35" i="10"/>
  <c r="O33" i="10"/>
  <c r="N35" i="10"/>
  <c r="N49" i="10"/>
  <c r="O26" i="10"/>
  <c r="N17" i="10"/>
  <c r="N8" i="10"/>
  <c r="O18" i="10"/>
  <c r="N11" i="10"/>
  <c r="O30" i="10"/>
  <c r="O31" i="10"/>
  <c r="O53" i="10"/>
  <c r="N48" i="10"/>
  <c r="O15" i="10"/>
  <c r="O41" i="10"/>
  <c r="N32" i="10"/>
  <c r="U9" i="1"/>
  <c r="N34" i="10"/>
  <c r="O28" i="10"/>
  <c r="O6" i="10"/>
  <c r="N50" i="10"/>
  <c r="N24" i="10"/>
  <c r="O50" i="10"/>
  <c r="N46" i="10"/>
  <c r="O16" i="10"/>
  <c r="O52" i="10"/>
  <c r="O27" i="10"/>
  <c r="O13" i="10"/>
  <c r="N45" i="10"/>
  <c r="N25" i="10"/>
  <c r="N23" i="10"/>
  <c r="N36" i="10"/>
  <c r="N31" i="10"/>
  <c r="N14" i="10"/>
  <c r="O11" i="10"/>
  <c r="N22" i="10"/>
  <c r="N39" i="10"/>
  <c r="N26" i="10"/>
  <c r="N7" i="10"/>
  <c r="O45" i="10"/>
  <c r="N51" i="10"/>
  <c r="N13" i="10"/>
  <c r="N12" i="10"/>
  <c r="O23" i="10"/>
  <c r="N33" i="10"/>
  <c r="N28" i="10"/>
  <c r="O37" i="10"/>
  <c r="O9" i="10"/>
  <c r="N27" i="10"/>
  <c r="O29" i="10"/>
  <c r="N21" i="10"/>
  <c r="O10" i="10"/>
  <c r="N37" i="10"/>
  <c r="O5" i="10"/>
  <c r="O43" i="10"/>
  <c r="O12" i="10"/>
  <c r="O14" i="10"/>
  <c r="O22" i="10"/>
  <c r="O42" i="10"/>
  <c r="O17" i="10"/>
  <c r="N10" i="10"/>
  <c r="N6" i="10"/>
  <c r="O36" i="10"/>
  <c r="O48" i="10"/>
  <c r="O19" i="10"/>
  <c r="N41" i="10"/>
  <c r="N30" i="10"/>
  <c r="O56" i="10"/>
  <c r="O46" i="10"/>
  <c r="N15" i="10"/>
  <c r="N44" i="10"/>
  <c r="N38" i="10"/>
  <c r="N19" i="10"/>
  <c r="O8" i="10"/>
  <c r="O7" i="10"/>
  <c r="O40" i="10"/>
  <c r="O38" i="10"/>
  <c r="O24" i="10"/>
  <c r="N29" i="10"/>
  <c r="O21" i="10"/>
  <c r="O34" i="10"/>
  <c r="O54" i="10"/>
  <c r="T10" i="1" l="1"/>
  <c r="AA10" i="1" l="1"/>
  <c r="U10" i="1"/>
  <c r="T11" i="1" l="1"/>
  <c r="AA11" i="1" l="1"/>
  <c r="U11" i="1"/>
  <c r="T12" i="1" l="1"/>
  <c r="AA12" i="1" l="1"/>
  <c r="U12" i="1"/>
  <c r="T13" i="1" l="1"/>
  <c r="AA13" i="1" l="1"/>
  <c r="U13" i="1"/>
  <c r="T14" i="1" l="1"/>
  <c r="AA14" i="1" l="1"/>
  <c r="U14" i="1"/>
  <c r="T15" i="1" l="1"/>
  <c r="AA15" i="1" l="1"/>
  <c r="U15" i="1"/>
  <c r="T16" i="1" l="1"/>
  <c r="AA16" i="1" l="1"/>
  <c r="U16" i="1"/>
  <c r="T17" i="1" l="1"/>
  <c r="AA17" i="1" l="1"/>
  <c r="U17" i="1"/>
  <c r="T18" i="1" l="1"/>
  <c r="AA18" i="1" l="1"/>
  <c r="U18" i="1"/>
  <c r="T19" i="1" l="1"/>
  <c r="AA19" i="1" l="1"/>
  <c r="U19" i="1"/>
</calcChain>
</file>

<file path=xl/sharedStrings.xml><?xml version="1.0" encoding="utf-8"?>
<sst xmlns="http://schemas.openxmlformats.org/spreadsheetml/2006/main" count="593" uniqueCount="335">
  <si>
    <t>Datum</t>
  </si>
  <si>
    <t>Tijd</t>
  </si>
  <si>
    <t>T_omg</t>
  </si>
  <si>
    <t>p_gas_in</t>
  </si>
  <si>
    <t>V_gas_str1</t>
  </si>
  <si>
    <t>V_gas_str2</t>
  </si>
  <si>
    <t>V_gas_br</t>
  </si>
  <si>
    <t>Pe_WP1</t>
  </si>
  <si>
    <t>Pe_WP2</t>
  </si>
  <si>
    <t>Pe_WP</t>
  </si>
  <si>
    <t>%</t>
  </si>
  <si>
    <t>W</t>
  </si>
  <si>
    <t>Nr</t>
  </si>
  <si>
    <t>kPa</t>
  </si>
  <si>
    <t>Q_brgas</t>
  </si>
  <si>
    <t>K</t>
  </si>
  <si>
    <t>Q_WP</t>
  </si>
  <si>
    <t>COP_WP</t>
  </si>
  <si>
    <t>Enthalpie G-gas</t>
  </si>
  <si>
    <t>Druk [bar]</t>
  </si>
  <si>
    <t>Temperatuur [°C]</t>
  </si>
  <si>
    <t>Enthalpie H-gas</t>
  </si>
  <si>
    <t>Z vd Hoeven voor G-gas</t>
  </si>
  <si>
    <t>Z vd Hoeven voor H-gas</t>
  </si>
  <si>
    <t>Formule</t>
  </si>
  <si>
    <t>Component</t>
  </si>
  <si>
    <t>Molaire_massa</t>
  </si>
  <si>
    <t>Kritische_druk</t>
  </si>
  <si>
    <t>Kritische_temperatuur</t>
  </si>
  <si>
    <t>Kritisch_volume</t>
  </si>
  <si>
    <t>Acentriciteitsfactor</t>
  </si>
  <si>
    <t>E.M.R.</t>
  </si>
  <si>
    <t>Z_(273.15 K, 101.325 kPa)</t>
  </si>
  <si>
    <t>Z_(288.15 K, 101.325 kPa)</t>
  </si>
  <si>
    <t>Z_(293.15 K, 101.325 kPa)</t>
  </si>
  <si>
    <t>ub_(273.15 K, 101.325 kPa)</t>
  </si>
  <si>
    <t>ub_(288.15 K, 101.325 kPa)</t>
  </si>
  <si>
    <t>ub_(293.15 K, 101.325 kPa)</t>
  </si>
  <si>
    <t>H2_(Verbr.Temp=298.15 K)</t>
  </si>
  <si>
    <t>Hi_(Verbr.Temp=298.15 K)</t>
  </si>
  <si>
    <t>Hs_(Verbr.Temp=298.15 K)</t>
  </si>
  <si>
    <t>Dichtheid_(273.15K)</t>
  </si>
  <si>
    <t>Dichtheid_(288.15K)</t>
  </si>
  <si>
    <t>Relatieve_dichtheid</t>
  </si>
  <si>
    <t>Benodigde_O2</t>
  </si>
  <si>
    <t>Gevormde_CO2</t>
  </si>
  <si>
    <t>Gevormde_H2O</t>
  </si>
  <si>
    <t>Gevormde_SO2</t>
  </si>
  <si>
    <t>Onderste_brandbaarheidsgrens</t>
  </si>
  <si>
    <t>Bovenste_brandbaarheidsgrens</t>
  </si>
  <si>
    <t>Lennard_Jones_potentiaal</t>
  </si>
  <si>
    <t>Lennard_Jones_botsings_diameter</t>
  </si>
  <si>
    <t>Vormingsenthalpie</t>
  </si>
  <si>
    <t>Free_form</t>
  </si>
  <si>
    <t>Kookpunt_API</t>
  </si>
  <si>
    <t>Delbourg_constante</t>
  </si>
  <si>
    <t>Roet_index</t>
  </si>
  <si>
    <t>Sutherland_constante</t>
  </si>
  <si>
    <t>Weaver</t>
  </si>
  <si>
    <t>Dynamische_viscositeit</t>
  </si>
  <si>
    <t>Zelfontbrandingstemperatuur</t>
  </si>
  <si>
    <t>CP NUL</t>
  </si>
  <si>
    <t>Exponenten voor entropie berekening (Lee-Kessler)</t>
  </si>
  <si>
    <t>ISO6976(95)</t>
  </si>
  <si>
    <t>API</t>
  </si>
  <si>
    <t>ISO6976(83)</t>
  </si>
  <si>
    <t>in lucht</t>
  </si>
  <si>
    <t>parameter</t>
  </si>
  <si>
    <t>energy</t>
  </si>
  <si>
    <t>M(0) * 10^6</t>
  </si>
  <si>
    <t>in O2</t>
  </si>
  <si>
    <t>A</t>
  </si>
  <si>
    <t>B*10**3</t>
  </si>
  <si>
    <t>C*10**6</t>
  </si>
  <si>
    <t>D*10**8</t>
  </si>
  <si>
    <t>E*10**12</t>
  </si>
  <si>
    <t>B</t>
  </si>
  <si>
    <t>C</t>
  </si>
  <si>
    <t>D</t>
  </si>
  <si>
    <t>E</t>
  </si>
  <si>
    <t>F</t>
  </si>
  <si>
    <t>G</t>
  </si>
  <si>
    <t>kg/kmol</t>
  </si>
  <si>
    <t>m^3/kmol</t>
  </si>
  <si>
    <t>dimensieloos</t>
  </si>
  <si>
    <t>kJ/mol</t>
  </si>
  <si>
    <t>MJ/m^3(n)</t>
  </si>
  <si>
    <t>kg/m^3(n)</t>
  </si>
  <si>
    <t>kg/m^3</t>
  </si>
  <si>
    <t>mol/mol</t>
  </si>
  <si>
    <t>nm</t>
  </si>
  <si>
    <t>MJ/kmol</t>
  </si>
  <si>
    <t>Pa.s</t>
  </si>
  <si>
    <t>N2</t>
  </si>
  <si>
    <t>Stikstof</t>
  </si>
  <si>
    <t>CO2</t>
  </si>
  <si>
    <t>Koolstofdioxide</t>
  </si>
  <si>
    <t>H2</t>
  </si>
  <si>
    <t>Waterstof</t>
  </si>
  <si>
    <t>He</t>
  </si>
  <si>
    <t>Helium</t>
  </si>
  <si>
    <t>CH4</t>
  </si>
  <si>
    <t>Methaan</t>
  </si>
  <si>
    <t>C2H6</t>
  </si>
  <si>
    <t>Ethaan</t>
  </si>
  <si>
    <t>C3H8</t>
  </si>
  <si>
    <t>Propaan</t>
  </si>
  <si>
    <t>C4H10</t>
  </si>
  <si>
    <t>Butaan</t>
  </si>
  <si>
    <t>Isobutaan (2-Methylpropaan)</t>
  </si>
  <si>
    <t>C5H12</t>
  </si>
  <si>
    <t>Pentaan</t>
  </si>
  <si>
    <t>2-Methylbutaan</t>
  </si>
  <si>
    <t>2,2-Dimethylpropaan</t>
  </si>
  <si>
    <t>C6H14</t>
  </si>
  <si>
    <t>Hexaan</t>
  </si>
  <si>
    <t>2-Methylpentaan</t>
  </si>
  <si>
    <t>3-Methylpentaan</t>
  </si>
  <si>
    <t>2,2-Dimethylbutaan</t>
  </si>
  <si>
    <t>2,3-Dimethylbutaan</t>
  </si>
  <si>
    <t>C7H16</t>
  </si>
  <si>
    <t>Heptaan</t>
  </si>
  <si>
    <t>2-Methylhexaan</t>
  </si>
  <si>
    <t>3-Methylhexaan</t>
  </si>
  <si>
    <t>C8H18</t>
  </si>
  <si>
    <t>Octaan</t>
  </si>
  <si>
    <t>C9H20</t>
  </si>
  <si>
    <t>Nonaan</t>
  </si>
  <si>
    <t>C10H22</t>
  </si>
  <si>
    <t>Decaan</t>
  </si>
  <si>
    <t>C11H24</t>
  </si>
  <si>
    <t>Undecaan</t>
  </si>
  <si>
    <t>C12H26</t>
  </si>
  <si>
    <t>Dodecaan</t>
  </si>
  <si>
    <t>C13H28</t>
  </si>
  <si>
    <t>Tridecaan</t>
  </si>
  <si>
    <t>C14H30</t>
  </si>
  <si>
    <t>Tetradecaan</t>
  </si>
  <si>
    <t>C2H4</t>
  </si>
  <si>
    <t>Etheen</t>
  </si>
  <si>
    <t>C3H6</t>
  </si>
  <si>
    <t>Propeen</t>
  </si>
  <si>
    <t>C4H8</t>
  </si>
  <si>
    <t>1-Buteen</t>
  </si>
  <si>
    <t>cis-2-Buteen</t>
  </si>
  <si>
    <t>trans-2-Buteen</t>
  </si>
  <si>
    <t>2-Methylpropeen</t>
  </si>
  <si>
    <t>C5H10</t>
  </si>
  <si>
    <t>1-Penteen</t>
  </si>
  <si>
    <t>C3H4</t>
  </si>
  <si>
    <t>Propadieen</t>
  </si>
  <si>
    <t>C4H6</t>
  </si>
  <si>
    <t>1,2-Butadieen</t>
  </si>
  <si>
    <t>1,3-Butadieen</t>
  </si>
  <si>
    <t>C2H2</t>
  </si>
  <si>
    <t>Acetyleen (Ethyn)</t>
  </si>
  <si>
    <t>Propyn</t>
  </si>
  <si>
    <t>1-Butyn</t>
  </si>
  <si>
    <t>Cyclopentaan</t>
  </si>
  <si>
    <t>C6H12</t>
  </si>
  <si>
    <t>Methylcyclopentaan</t>
  </si>
  <si>
    <t>C7H14</t>
  </si>
  <si>
    <t>Ethylcyclopentaan</t>
  </si>
  <si>
    <t>Cyclohexaan</t>
  </si>
  <si>
    <t>Methylcyclohexaan</t>
  </si>
  <si>
    <t>C8H16</t>
  </si>
  <si>
    <t>Ethylcyclohexaan</t>
  </si>
  <si>
    <t>C6H6</t>
  </si>
  <si>
    <t>Benzeen</t>
  </si>
  <si>
    <t>C7H8</t>
  </si>
  <si>
    <t>Tolueen (Methylbenzeen)</t>
  </si>
  <si>
    <t>C8H10</t>
  </si>
  <si>
    <t>Ethylbenzeen</t>
  </si>
  <si>
    <t>o-Xyleen (1,2-Dimethylbenzeen)</t>
  </si>
  <si>
    <t>m-Xyleen (1,3-Dimethylbenzeen)</t>
  </si>
  <si>
    <t>p-Xyleen (1,4-Dimethylbenzeen)</t>
  </si>
  <si>
    <t>CH3OH</t>
  </si>
  <si>
    <t>Methanol</t>
  </si>
  <si>
    <t>C2H5OH</t>
  </si>
  <si>
    <t>Ethanol</t>
  </si>
  <si>
    <t>CH3SH</t>
  </si>
  <si>
    <t>Methaanthiol</t>
  </si>
  <si>
    <t>C2H5SH</t>
  </si>
  <si>
    <t>Ethaanthiol</t>
  </si>
  <si>
    <t>C3H7SH</t>
  </si>
  <si>
    <t>Propaanthiol</t>
  </si>
  <si>
    <t>COS</t>
  </si>
  <si>
    <t>Carbonylsulfide</t>
  </si>
  <si>
    <t>CS2</t>
  </si>
  <si>
    <t>Koolstofdisulfide</t>
  </si>
  <si>
    <t>H2S</t>
  </si>
  <si>
    <t>Waterstofsulfide</t>
  </si>
  <si>
    <t>SO2</t>
  </si>
  <si>
    <t>Zwaveldioxide</t>
  </si>
  <si>
    <t>Ar</t>
  </si>
  <si>
    <t>Argon</t>
  </si>
  <si>
    <t>O2</t>
  </si>
  <si>
    <t>Zuurstof</t>
  </si>
  <si>
    <t>CO</t>
  </si>
  <si>
    <t>Koolstofmonooxide</t>
  </si>
  <si>
    <t>NO</t>
  </si>
  <si>
    <t>Stikstofmonooxide</t>
  </si>
  <si>
    <t>NO2</t>
  </si>
  <si>
    <t>Stikstofdioxide</t>
  </si>
  <si>
    <t>N2O</t>
  </si>
  <si>
    <t>Distikstofoxide</t>
  </si>
  <si>
    <t>H2O</t>
  </si>
  <si>
    <t>Water</t>
  </si>
  <si>
    <t>Gassamenstelling</t>
  </si>
  <si>
    <t>mol%</t>
  </si>
  <si>
    <t>Som</t>
  </si>
  <si>
    <t>Koolstofmonoxide</t>
  </si>
  <si>
    <t>Stikstofmonoxide</t>
  </si>
  <si>
    <t>Q_str1</t>
  </si>
  <si>
    <t>Q_str2</t>
  </si>
  <si>
    <t>Q_ket</t>
  </si>
  <si>
    <t>Grafiekgegevens</t>
  </si>
  <si>
    <t>Start</t>
  </si>
  <si>
    <t>Eind</t>
  </si>
  <si>
    <t>Datums</t>
  </si>
  <si>
    <t>Starttijden</t>
  </si>
  <si>
    <t>Eindtijden</t>
  </si>
  <si>
    <t>Grafiek 1</t>
  </si>
  <si>
    <t>Parameter</t>
  </si>
  <si>
    <t>Minimum</t>
  </si>
  <si>
    <t>Maximum</t>
  </si>
  <si>
    <t>Y-as</t>
  </si>
  <si>
    <t>Grafiek 2</t>
  </si>
  <si>
    <t>H</t>
  </si>
  <si>
    <t>I</t>
  </si>
  <si>
    <t>J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</si>
  <si>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</si>
  <si>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</si>
  <si>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</si>
  <si>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</si>
  <si>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</si>
  <si>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</si>
  <si>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</si>
  <si>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</si>
  <si>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</si>
  <si>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</si>
  <si>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</si>
  <si>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X</t>
  </si>
  <si>
    <t>Y</t>
  </si>
  <si>
    <t>Z</t>
  </si>
  <si>
    <t>Grafiekbereik 1</t>
  </si>
  <si>
    <t>Grafiekbereik 2</t>
  </si>
  <si>
    <t>Week</t>
  </si>
  <si>
    <t>Grootheid</t>
  </si>
  <si>
    <t>Eenheid</t>
  </si>
  <si>
    <t>Type</t>
  </si>
  <si>
    <t>Min</t>
  </si>
  <si>
    <t>Max</t>
  </si>
  <si>
    <t>Gemiddeld</t>
  </si>
  <si>
    <t>St afwijking</t>
  </si>
  <si>
    <t>Daggemiddelden</t>
  </si>
  <si>
    <t>Van:</t>
  </si>
  <si>
    <t>t/m:</t>
  </si>
  <si>
    <t>Week:</t>
  </si>
  <si>
    <t>sommatie</t>
  </si>
  <si>
    <t>berekening</t>
  </si>
  <si>
    <t>Berekende prestatieindicatoren per week</t>
  </si>
  <si>
    <t>Berekende prestatieindicatoren per dag</t>
  </si>
  <si>
    <t>Gesommeerde hoeveelheden per dag</t>
  </si>
  <si>
    <t>Grafiek 3</t>
  </si>
  <si>
    <t>Grafiekbereik 3</t>
  </si>
  <si>
    <t xml:space="preserve">Gesommeerde hoeveelheden </t>
  </si>
  <si>
    <t>%-BW</t>
  </si>
  <si>
    <t>-</t>
  </si>
  <si>
    <t>Ketelrend</t>
  </si>
  <si>
    <t>COP</t>
  </si>
  <si>
    <t>Wzrend</t>
  </si>
  <si>
    <t>Totrend</t>
  </si>
  <si>
    <t>00:00:00</t>
  </si>
  <si>
    <t>23:00:00</t>
  </si>
  <si>
    <t>Eerste dag</t>
  </si>
  <si>
    <t>p_uit_str1</t>
  </si>
  <si>
    <t>T_uit_str1</t>
  </si>
  <si>
    <t>p_uit_str2</t>
  </si>
  <si>
    <t>T_uit_str2</t>
  </si>
  <si>
    <t>Tb_4</t>
  </si>
  <si>
    <t>ketelrend</t>
  </si>
  <si>
    <t>WZ_rend</t>
  </si>
  <si>
    <t>totrend</t>
  </si>
  <si>
    <t>Datumrij</t>
  </si>
  <si>
    <t>COP-fabrikant</t>
  </si>
  <si>
    <t>28-10-2024</t>
  </si>
  <si>
    <t>03-11-2024</t>
  </si>
  <si>
    <t>1hour - RV - weekno - 44Energy Balance - 28-10-2024 - 03-11-2024.xlsx</t>
  </si>
  <si>
    <t>Q_fabrikant</t>
  </si>
  <si>
    <t>RV1</t>
  </si>
  <si>
    <t>m_gas_str1</t>
  </si>
  <si>
    <t>RV2</t>
  </si>
  <si>
    <t>m_gas_str2</t>
  </si>
  <si>
    <t>RV3</t>
  </si>
  <si>
    <t>m_gas_tot</t>
  </si>
  <si>
    <t>RV4</t>
  </si>
  <si>
    <t>h_gas_in</t>
  </si>
  <si>
    <t>RV5</t>
  </si>
  <si>
    <t>h_gas_str1</t>
  </si>
  <si>
    <t>RV6</t>
  </si>
  <si>
    <t>h_gas_str2</t>
  </si>
  <si>
    <t>RV7</t>
  </si>
  <si>
    <t>dh_gas_str1</t>
  </si>
  <si>
    <t>RV8</t>
  </si>
  <si>
    <t>dh_gas_str2</t>
  </si>
  <si>
    <t>RV9</t>
  </si>
  <si>
    <t>RV10</t>
  </si>
  <si>
    <t>RV11</t>
  </si>
  <si>
    <t>RV12</t>
  </si>
  <si>
    <t>dT_ketelw</t>
  </si>
  <si>
    <t>RV13</t>
  </si>
  <si>
    <t>RV14</t>
  </si>
  <si>
    <t>dT_WP</t>
  </si>
  <si>
    <t>RV15</t>
  </si>
  <si>
    <t>RV16</t>
  </si>
  <si>
    <t>dT_OV</t>
  </si>
  <si>
    <t>RV17</t>
  </si>
  <si>
    <t>Q_OV</t>
  </si>
  <si>
    <t>RV18</t>
  </si>
  <si>
    <t>RV19</t>
  </si>
  <si>
    <t>RV20</t>
  </si>
  <si>
    <t>RV21</t>
  </si>
  <si>
    <t/>
  </si>
  <si>
    <t>m3(n)</t>
  </si>
  <si>
    <t>liter</t>
  </si>
  <si>
    <t>kWhe</t>
  </si>
  <si>
    <t>kWh</t>
  </si>
  <si>
    <t>Q_str3</t>
  </si>
  <si>
    <t>V_gas_str3</t>
  </si>
  <si>
    <t>Weekrapport warmtepomp pilot GOS Nunspeet</t>
  </si>
  <si>
    <t>p_uit_str3</t>
  </si>
  <si>
    <t>T_uit_str3</t>
  </si>
  <si>
    <t>C:\!Projects\Heatpumps Monitoring\Process Data Scripts\Automatic excel calculations\TemporaryStoredFiles\</t>
  </si>
  <si>
    <t>Uitwerk light uurbasis zonder koeler RM-new.xlsm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</si>
</sst>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0.000"/>
    <numFmt numFmtId="165" formatCode="0.0000"/>
    <numFmt numFmtId="166" formatCode="0.0000000000"/>
    <numFmt numFmtId="167" formatCode="0.00000000000000000000"/>
    <numFmt numFmtId="168" formatCode="#,##0.0"/>
    <numFmt numFmtId="169" formatCode="#,##0.000"/>
    <numFmt numFmtId="170" formatCode="0.0"/>
    <numFmt numFmtId="171" formatCode="[$-F400]h:mm:ss\ AM/PM"/>
    <numFmt numFmtId="172" formatCode="hh:mm:ss"/>
    <numFmt numFmtId="173" formatCode="dd/mm/yy"/>
  </numFmts>
  <fonts count="22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name val="Century Gothic"/>
      <family val="2"/>
    </font>
    <font>
      <b/>
      <sz val="10"/>
      <name val="Century Gothic"/>
      <family val="2"/>
    </font>
    <font>
      <b/>
      <sz val="11"/>
      <name val="Aptos Narrow"/>
      <family val="2"/>
      <scheme val="minor"/>
    </font>
    <font>
      <sz val="10"/>
      <name val="Arial"/>
      <family val="2"/>
    </font>
    <font>
      <sz val="10"/>
      <color indexed="10"/>
      <name val="Arial Narrow"/>
      <family val="2"/>
    </font>
    <font>
      <sz val="9"/>
      <name val="Arial"/>
      <family val="2"/>
    </font>
    <font>
      <sz val="9"/>
      <color indexed="10"/>
      <name val="Arial"/>
      <family val="2"/>
    </font>
    <font>
      <sz val="9"/>
      <color indexed="10"/>
      <name val="Arial Narrow"/>
      <family val="2"/>
    </font>
    <font>
      <sz val="9"/>
      <color rgb="FF0000FF"/>
      <name val="Arial"/>
      <family val="2"/>
    </font>
    <font>
      <sz val="11"/>
      <color rgb="FF0000FF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6"/>
      <name val="Aptos Narrow"/>
      <family val="2"/>
      <scheme val="minor"/>
    </font>
    <font>
      <sz val="10"/>
      <color theme="0" tint="-4.9989318521683403E-2"/>
      <name val="Var(--ff-mono)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CAEDFB"/>
      <name val="Aptos Narrow"/>
      <family val="2"/>
      <scheme val="minor"/>
    </font>
    <font>
      <sz val="11"/>
      <color rgb="FF000000"/>
      <name val="Aptos Narrow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AEDFB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theme="4"/>
      </left>
      <right/>
      <top style="thick">
        <color theme="4"/>
      </top>
      <bottom style="thin">
        <color indexed="64"/>
      </bottom>
      <diagonal/>
    </border>
    <border>
      <left/>
      <right/>
      <top style="thick">
        <color theme="4"/>
      </top>
      <bottom style="thin">
        <color indexed="64"/>
      </bottom>
      <diagonal/>
    </border>
    <border>
      <left/>
      <right style="thin">
        <color indexed="64"/>
      </right>
      <top style="thick">
        <color theme="4"/>
      </top>
      <bottom style="thin">
        <color indexed="64"/>
      </bottom>
      <diagonal/>
    </border>
    <border>
      <left style="thin">
        <color indexed="64"/>
      </left>
      <right/>
      <top style="thick">
        <color theme="4"/>
      </top>
      <bottom style="thin">
        <color indexed="64"/>
      </bottom>
      <diagonal/>
    </border>
    <border>
      <left/>
      <right style="thick">
        <color theme="4"/>
      </right>
      <top style="thick">
        <color theme="4"/>
      </top>
      <bottom style="thin">
        <color indexed="64"/>
      </bottom>
      <diagonal/>
    </border>
    <border>
      <left style="thick">
        <color theme="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4"/>
      </right>
      <top style="thin">
        <color indexed="64"/>
      </top>
      <bottom/>
      <diagonal/>
    </border>
    <border>
      <left style="thick">
        <color theme="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4"/>
      </right>
      <top/>
      <bottom style="thin">
        <color indexed="64"/>
      </bottom>
      <diagonal/>
    </border>
    <border>
      <left style="thick">
        <color theme="4"/>
      </left>
      <right style="thin">
        <color indexed="64"/>
      </right>
      <top style="thin">
        <color indexed="64"/>
      </top>
      <bottom/>
      <diagonal/>
    </border>
    <border>
      <left style="thick">
        <color theme="4"/>
      </left>
      <right style="thin">
        <color indexed="64"/>
      </right>
      <top/>
      <bottom/>
      <diagonal/>
    </border>
    <border>
      <left style="thin">
        <color indexed="64"/>
      </left>
      <right style="thick">
        <color theme="4"/>
      </right>
      <top/>
      <bottom/>
      <diagonal/>
    </border>
    <border>
      <left/>
      <right style="thick">
        <color theme="4"/>
      </right>
      <top style="thin">
        <color indexed="64"/>
      </top>
      <bottom style="thin">
        <color indexed="64"/>
      </bottom>
      <diagonal/>
    </border>
    <border>
      <left style="thick">
        <color theme="4"/>
      </left>
      <right style="thin">
        <color indexed="64"/>
      </right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/>
      <bottom style="thick">
        <color theme="4"/>
      </bottom>
      <diagonal/>
    </border>
    <border>
      <left style="thin">
        <color indexed="64"/>
      </left>
      <right style="thick">
        <color theme="4"/>
      </right>
      <top/>
      <bottom style="thick">
        <color theme="4"/>
      </bottom>
      <diagonal/>
    </border>
    <border>
      <left style="thick">
        <color theme="4"/>
      </left>
      <right/>
      <top style="thick">
        <color theme="4"/>
      </top>
      <bottom style="thick">
        <color theme="4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 style="thick">
        <color theme="4"/>
      </right>
      <top style="thick">
        <color theme="4"/>
      </top>
      <bottom style="thick">
        <color theme="4"/>
      </bottom>
      <diagonal/>
    </border>
    <border>
      <left style="thick">
        <color theme="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3" fillId="0" borderId="0"/>
    <xf numFmtId="0" fontId="6" fillId="0" borderId="0"/>
    <xf numFmtId="0" fontId="3" fillId="0" borderId="0"/>
    <xf numFmtId="0" fontId="3" fillId="0" borderId="0"/>
    <xf numFmtId="0" fontId="6" fillId="0" borderId="0"/>
    <xf numFmtId="0" fontId="19" fillId="0" borderId="0" applyNumberFormat="0" applyFill="0" applyBorder="0" applyAlignment="0" applyProtection="0"/>
  </cellStyleXfs>
  <cellXfs count="181">
    <xf numFmtId="0" fontId="0" fillId="0" borderId="0" xfId="0"/>
    <xf numFmtId="0" fontId="0" fillId="2" borderId="0" xfId="0" applyFill="1"/>
    <xf numFmtId="0" fontId="0" fillId="4" borderId="4" xfId="0" applyFill="1" applyBorder="1"/>
    <xf numFmtId="0" fontId="0" fillId="4" borderId="8" xfId="0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0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164" fontId="0" fillId="2" borderId="12" xfId="0" applyNumberFormat="1" applyFill="1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13" xfId="0" applyNumberFormat="1" applyFill="1" applyBorder="1" applyAlignment="1">
      <alignment horizontal="center"/>
    </xf>
    <xf numFmtId="0" fontId="5" fillId="4" borderId="14" xfId="0" applyFon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2" borderId="7" xfId="0" applyNumberForma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2" borderId="8" xfId="0" applyFill="1" applyBorder="1"/>
    <xf numFmtId="165" fontId="0" fillId="2" borderId="9" xfId="0" applyNumberFormat="1" applyFill="1" applyBorder="1" applyAlignment="1">
      <alignment horizontal="center"/>
    </xf>
    <xf numFmtId="165" fontId="0" fillId="2" borderId="10" xfId="0" applyNumberFormat="1" applyFill="1" applyBorder="1" applyAlignment="1">
      <alignment horizontal="center"/>
    </xf>
    <xf numFmtId="165" fontId="0" fillId="2" borderId="11" xfId="0" applyNumberFormat="1" applyFill="1" applyBorder="1" applyAlignment="1">
      <alignment horizontal="center"/>
    </xf>
    <xf numFmtId="165" fontId="0" fillId="2" borderId="12" xfId="0" applyNumberForma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165" fontId="0" fillId="2" borderId="13" xfId="0" applyNumberFormat="1" applyFill="1" applyBorder="1" applyAlignment="1">
      <alignment horizontal="center"/>
    </xf>
    <xf numFmtId="165" fontId="0" fillId="2" borderId="5" xfId="0" applyNumberFormat="1" applyFill="1" applyBorder="1" applyAlignment="1">
      <alignment horizontal="center"/>
    </xf>
    <xf numFmtId="165" fontId="0" fillId="2" borderId="6" xfId="0" applyNumberFormat="1" applyFill="1" applyBorder="1" applyAlignment="1">
      <alignment horizontal="center"/>
    </xf>
    <xf numFmtId="165" fontId="0" fillId="2" borderId="7" xfId="0" applyNumberFormat="1" applyFill="1" applyBorder="1" applyAlignment="1">
      <alignment horizontal="center"/>
    </xf>
    <xf numFmtId="0" fontId="6" fillId="0" borderId="0" xfId="2"/>
    <xf numFmtId="0" fontId="3" fillId="0" borderId="0" xfId="3"/>
    <xf numFmtId="166" fontId="3" fillId="0" borderId="0" xfId="3" applyNumberFormat="1"/>
    <xf numFmtId="166" fontId="6" fillId="0" borderId="0" xfId="2" applyNumberFormat="1"/>
    <xf numFmtId="167" fontId="6" fillId="0" borderId="0" xfId="2" applyNumberFormat="1"/>
    <xf numFmtId="1" fontId="3" fillId="0" borderId="15" xfId="4" applyNumberFormat="1" applyBorder="1"/>
    <xf numFmtId="0" fontId="4" fillId="0" borderId="0" xfId="4" applyFont="1"/>
    <xf numFmtId="0" fontId="4" fillId="0" borderId="16" xfId="4" applyFont="1" applyBorder="1"/>
    <xf numFmtId="0" fontId="7" fillId="0" borderId="17" xfId="4" applyFont="1" applyBorder="1"/>
    <xf numFmtId="1" fontId="3" fillId="0" borderId="18" xfId="4" applyNumberFormat="1" applyBorder="1"/>
    <xf numFmtId="0" fontId="3" fillId="0" borderId="19" xfId="4" applyBorder="1"/>
    <xf numFmtId="0" fontId="7" fillId="0" borderId="20" xfId="4" applyFont="1" applyBorder="1"/>
    <xf numFmtId="1" fontId="6" fillId="0" borderId="15" xfId="4" applyNumberFormat="1" applyFont="1" applyBorder="1"/>
    <xf numFmtId="0" fontId="9" fillId="0" borderId="21" xfId="4" applyFont="1" applyBorder="1"/>
    <xf numFmtId="0" fontId="10" fillId="0" borderId="21" xfId="4" applyFont="1" applyBorder="1"/>
    <xf numFmtId="0" fontId="8" fillId="0" borderId="21" xfId="5" applyFont="1" applyBorder="1"/>
    <xf numFmtId="0" fontId="6" fillId="0" borderId="15" xfId="5" applyBorder="1"/>
    <xf numFmtId="0" fontId="6" fillId="0" borderId="0" xfId="5"/>
    <xf numFmtId="0" fontId="6" fillId="0" borderId="0" xfId="5" applyAlignment="1">
      <alignment vertical="center"/>
    </xf>
    <xf numFmtId="0" fontId="6" fillId="0" borderId="21" xfId="5" applyBorder="1"/>
    <xf numFmtId="0" fontId="6" fillId="0" borderId="22" xfId="5" applyBorder="1"/>
    <xf numFmtId="0" fontId="6" fillId="0" borderId="16" xfId="5" applyBorder="1"/>
    <xf numFmtId="164" fontId="6" fillId="0" borderId="16" xfId="5" applyNumberFormat="1" applyBorder="1" applyAlignment="1">
      <alignment vertical="center"/>
    </xf>
    <xf numFmtId="0" fontId="6" fillId="0" borderId="17" xfId="5" applyBorder="1"/>
    <xf numFmtId="0" fontId="8" fillId="0" borderId="0" xfId="4" applyFont="1"/>
    <xf numFmtId="164" fontId="11" fillId="0" borderId="0" xfId="4" applyNumberFormat="1" applyFont="1" applyAlignment="1">
      <alignment vertical="center"/>
    </xf>
    <xf numFmtId="0" fontId="0" fillId="2" borderId="0" xfId="0" applyFill="1" applyAlignment="1">
      <alignment horizontal="center"/>
    </xf>
    <xf numFmtId="0" fontId="0" fillId="2" borderId="8" xfId="0" applyFill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14" fillId="2" borderId="0" xfId="0" applyFont="1" applyFill="1" applyAlignment="1">
      <alignment horizontal="left"/>
    </xf>
    <xf numFmtId="1" fontId="0" fillId="2" borderId="0" xfId="0" applyNumberFormat="1" applyFill="1"/>
    <xf numFmtId="2" fontId="0" fillId="2" borderId="23" xfId="0" applyNumberFormat="1" applyFill="1" applyBorder="1" applyAlignment="1">
      <alignment horizontal="center"/>
    </xf>
    <xf numFmtId="2" fontId="0" fillId="2" borderId="4" xfId="0" applyNumberFormat="1" applyFill="1" applyBorder="1" applyAlignment="1">
      <alignment horizontal="center"/>
    </xf>
    <xf numFmtId="2" fontId="0" fillId="2" borderId="14" xfId="0" applyNumberFormat="1" applyFill="1" applyBorder="1" applyAlignment="1">
      <alignment horizontal="center"/>
    </xf>
    <xf numFmtId="0" fontId="15" fillId="2" borderId="0" xfId="0" applyFont="1" applyFill="1"/>
    <xf numFmtId="0" fontId="14" fillId="2" borderId="0" xfId="0" applyFont="1" applyFill="1"/>
    <xf numFmtId="2" fontId="15" fillId="2" borderId="0" xfId="0" applyNumberFormat="1" applyFont="1" applyFill="1"/>
    <xf numFmtId="4" fontId="14" fillId="5" borderId="23" xfId="0" applyNumberFormat="1" applyFont="1" applyFill="1" applyBorder="1" applyAlignment="1">
      <alignment horizontal="center"/>
    </xf>
    <xf numFmtId="4" fontId="14" fillId="5" borderId="4" xfId="0" applyNumberFormat="1" applyFont="1" applyFill="1" applyBorder="1" applyAlignment="1">
      <alignment horizontal="center"/>
    </xf>
    <xf numFmtId="168" fontId="14" fillId="5" borderId="4" xfId="0" applyNumberFormat="1" applyFont="1" applyFill="1" applyBorder="1" applyAlignment="1">
      <alignment horizontal="center"/>
    </xf>
    <xf numFmtId="3" fontId="14" fillId="5" borderId="4" xfId="0" applyNumberFormat="1" applyFont="1" applyFill="1" applyBorder="1" applyAlignment="1">
      <alignment horizontal="center"/>
    </xf>
    <xf numFmtId="169" fontId="14" fillId="5" borderId="4" xfId="0" applyNumberFormat="1" applyFont="1" applyFill="1" applyBorder="1" applyAlignment="1">
      <alignment horizontal="center"/>
    </xf>
    <xf numFmtId="170" fontId="14" fillId="5" borderId="4" xfId="0" applyNumberFormat="1" applyFont="1" applyFill="1" applyBorder="1" applyAlignment="1">
      <alignment horizontal="center"/>
    </xf>
    <xf numFmtId="2" fontId="14" fillId="6" borderId="23" xfId="0" applyNumberFormat="1" applyFont="1" applyFill="1" applyBorder="1" applyAlignment="1">
      <alignment horizontal="center"/>
    </xf>
    <xf numFmtId="2" fontId="14" fillId="6" borderId="4" xfId="0" applyNumberFormat="1" applyFont="1" applyFill="1" applyBorder="1" applyAlignment="1">
      <alignment horizontal="center"/>
    </xf>
    <xf numFmtId="4" fontId="14" fillId="6" borderId="23" xfId="0" applyNumberFormat="1" applyFont="1" applyFill="1" applyBorder="1" applyAlignment="1">
      <alignment horizontal="center"/>
    </xf>
    <xf numFmtId="4" fontId="14" fillId="6" borderId="4" xfId="0" applyNumberFormat="1" applyFont="1" applyFill="1" applyBorder="1" applyAlignment="1">
      <alignment horizontal="center"/>
    </xf>
    <xf numFmtId="170" fontId="14" fillId="6" borderId="23" xfId="0" applyNumberFormat="1" applyFont="1" applyFill="1" applyBorder="1" applyAlignment="1">
      <alignment horizontal="center"/>
    </xf>
    <xf numFmtId="170" fontId="14" fillId="6" borderId="4" xfId="0" applyNumberFormat="1" applyFont="1" applyFill="1" applyBorder="1" applyAlignment="1">
      <alignment horizontal="center"/>
    </xf>
    <xf numFmtId="0" fontId="5" fillId="7" borderId="2" xfId="0" applyFont="1" applyFill="1" applyBorder="1"/>
    <xf numFmtId="0" fontId="5" fillId="7" borderId="3" xfId="0" applyFont="1" applyFill="1" applyBorder="1"/>
    <xf numFmtId="0" fontId="5" fillId="7" borderId="8" xfId="0" applyFont="1" applyFill="1" applyBorder="1" applyAlignment="1">
      <alignment horizontal="center"/>
    </xf>
    <xf numFmtId="0" fontId="5" fillId="7" borderId="3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center"/>
    </xf>
    <xf numFmtId="0" fontId="5" fillId="8" borderId="14" xfId="0" applyFont="1" applyFill="1" applyBorder="1" applyAlignment="1">
      <alignment horizontal="center"/>
    </xf>
    <xf numFmtId="0" fontId="5" fillId="9" borderId="3" xfId="0" applyFont="1" applyFill="1" applyBorder="1"/>
    <xf numFmtId="0" fontId="5" fillId="9" borderId="2" xfId="0" applyFont="1" applyFill="1" applyBorder="1"/>
    <xf numFmtId="0" fontId="5" fillId="9" borderId="8" xfId="0" applyFont="1" applyFill="1" applyBorder="1" applyAlignment="1">
      <alignment horizontal="center"/>
    </xf>
    <xf numFmtId="0" fontId="14" fillId="10" borderId="23" xfId="0" applyFont="1" applyFill="1" applyBorder="1" applyAlignment="1">
      <alignment horizontal="center"/>
    </xf>
    <xf numFmtId="0" fontId="14" fillId="10" borderId="4" xfId="0" applyFont="1" applyFill="1" applyBorder="1" applyAlignment="1">
      <alignment horizontal="center"/>
    </xf>
    <xf numFmtId="0" fontId="17" fillId="2" borderId="0" xfId="0" applyFont="1" applyFill="1" applyAlignment="1">
      <alignment horizontal="center" vertical="center"/>
    </xf>
    <xf numFmtId="0" fontId="14" fillId="11" borderId="23" xfId="0" applyFont="1" applyFill="1" applyBorder="1"/>
    <xf numFmtId="0" fontId="14" fillId="11" borderId="4" xfId="0" applyFont="1" applyFill="1" applyBorder="1"/>
    <xf numFmtId="14" fontId="0" fillId="2" borderId="0" xfId="0" applyNumberFormat="1" applyFill="1"/>
    <xf numFmtId="171" fontId="12" fillId="0" borderId="8" xfId="0" applyNumberFormat="1" applyFont="1" applyBorder="1" applyAlignment="1">
      <alignment horizontal="center"/>
    </xf>
    <xf numFmtId="171" fontId="0" fillId="2" borderId="0" xfId="0" applyNumberFormat="1" applyFill="1"/>
    <xf numFmtId="0" fontId="18" fillId="11" borderId="4" xfId="0" applyFont="1" applyFill="1" applyBorder="1"/>
    <xf numFmtId="2" fontId="12" fillId="0" borderId="8" xfId="0" applyNumberFormat="1" applyFont="1" applyBorder="1" applyAlignment="1">
      <alignment horizontal="center"/>
    </xf>
    <xf numFmtId="0" fontId="15" fillId="2" borderId="0" xfId="0" applyFont="1" applyFill="1" applyAlignment="1">
      <alignment horizontal="center"/>
    </xf>
    <xf numFmtId="0" fontId="19" fillId="2" borderId="0" xfId="6" applyFill="1"/>
    <xf numFmtId="0" fontId="18" fillId="12" borderId="23" xfId="0" applyFont="1" applyFill="1" applyBorder="1"/>
    <xf numFmtId="0" fontId="20" fillId="11" borderId="23" xfId="0" applyFont="1" applyFill="1" applyBorder="1"/>
    <xf numFmtId="0" fontId="20" fillId="11" borderId="4" xfId="0" applyFont="1" applyFill="1" applyBorder="1"/>
    <xf numFmtId="0" fontId="14" fillId="10" borderId="4" xfId="0" quotePrefix="1" applyFont="1" applyFill="1" applyBorder="1" applyAlignment="1">
      <alignment horizontal="center"/>
    </xf>
    <xf numFmtId="2" fontId="14" fillId="5" borderId="4" xfId="0" applyNumberFormat="1" applyFont="1" applyFill="1" applyBorder="1" applyAlignment="1">
      <alignment horizontal="center"/>
    </xf>
    <xf numFmtId="21" fontId="0" fillId="2" borderId="4" xfId="0" applyNumberFormat="1" applyFill="1" applyBorder="1" applyAlignment="1">
      <alignment horizontal="center"/>
    </xf>
    <xf numFmtId="21" fontId="0" fillId="2" borderId="14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172" fontId="0" fillId="0" borderId="0" xfId="0" applyNumberFormat="1" applyAlignment="1">
      <alignment horizontal="center"/>
    </xf>
    <xf numFmtId="173" fontId="0" fillId="0" borderId="0" xfId="0" applyNumberFormat="1" applyAlignment="1">
      <alignment horizontal="center"/>
    </xf>
    <xf numFmtId="173" fontId="0" fillId="0" borderId="0" xfId="0" applyNumberFormat="1" applyAlignment="1">
      <alignment horizontal="center" vertical="top"/>
    </xf>
    <xf numFmtId="172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0" fontId="5" fillId="9" borderId="24" xfId="0" applyFont="1" applyFill="1" applyBorder="1"/>
    <xf numFmtId="0" fontId="5" fillId="9" borderId="25" xfId="0" applyFont="1" applyFill="1" applyBorder="1" applyAlignment="1">
      <alignment horizontal="center"/>
    </xf>
    <xf numFmtId="0" fontId="5" fillId="9" borderId="26" xfId="0" applyFont="1" applyFill="1" applyBorder="1"/>
    <xf numFmtId="0" fontId="5" fillId="7" borderId="27" xfId="0" applyFont="1" applyFill="1" applyBorder="1" applyAlignment="1">
      <alignment horizontal="center"/>
    </xf>
    <xf numFmtId="0" fontId="5" fillId="7" borderId="25" xfId="0" applyFont="1" applyFill="1" applyBorder="1"/>
    <xf numFmtId="0" fontId="5" fillId="7" borderId="25" xfId="0" applyFont="1" applyFill="1" applyBorder="1" applyAlignment="1">
      <alignment horizontal="center"/>
    </xf>
    <xf numFmtId="0" fontId="5" fillId="7" borderId="26" xfId="0" applyFont="1" applyFill="1" applyBorder="1"/>
    <xf numFmtId="0" fontId="5" fillId="9" borderId="29" xfId="0" applyFont="1" applyFill="1" applyBorder="1"/>
    <xf numFmtId="0" fontId="5" fillId="8" borderId="30" xfId="0" applyFont="1" applyFill="1" applyBorder="1" applyAlignment="1">
      <alignment horizontal="center"/>
    </xf>
    <xf numFmtId="0" fontId="5" fillId="9" borderId="31" xfId="0" applyFont="1" applyFill="1" applyBorder="1" applyAlignment="1">
      <alignment horizontal="center"/>
    </xf>
    <xf numFmtId="0" fontId="5" fillId="8" borderId="32" xfId="0" applyFont="1" applyFill="1" applyBorder="1" applyAlignment="1">
      <alignment horizontal="center"/>
    </xf>
    <xf numFmtId="2" fontId="14" fillId="6" borderId="30" xfId="0" applyNumberFormat="1" applyFont="1" applyFill="1" applyBorder="1" applyAlignment="1">
      <alignment horizontal="center"/>
    </xf>
    <xf numFmtId="2" fontId="14" fillId="6" borderId="35" xfId="0" applyNumberFormat="1" applyFont="1" applyFill="1" applyBorder="1" applyAlignment="1">
      <alignment horizontal="center"/>
    </xf>
    <xf numFmtId="0" fontId="14" fillId="10" borderId="33" xfId="0" applyFont="1" applyFill="1" applyBorder="1"/>
    <xf numFmtId="0" fontId="14" fillId="10" borderId="34" xfId="0" applyFont="1" applyFill="1" applyBorder="1"/>
    <xf numFmtId="170" fontId="14" fillId="6" borderId="30" xfId="0" applyNumberFormat="1" applyFont="1" applyFill="1" applyBorder="1" applyAlignment="1">
      <alignment horizontal="center"/>
    </xf>
    <xf numFmtId="170" fontId="14" fillId="6" borderId="35" xfId="0" applyNumberFormat="1" applyFont="1" applyFill="1" applyBorder="1" applyAlignment="1">
      <alignment horizontal="center"/>
    </xf>
    <xf numFmtId="0" fontId="14" fillId="10" borderId="37" xfId="0" applyFont="1" applyFill="1" applyBorder="1"/>
    <xf numFmtId="0" fontId="14" fillId="10" borderId="38" xfId="0" applyFont="1" applyFill="1" applyBorder="1" applyAlignment="1">
      <alignment horizontal="center"/>
    </xf>
    <xf numFmtId="0" fontId="14" fillId="11" borderId="38" xfId="0" applyFont="1" applyFill="1" applyBorder="1"/>
    <xf numFmtId="170" fontId="14" fillId="5" borderId="38" xfId="0" applyNumberFormat="1" applyFont="1" applyFill="1" applyBorder="1" applyAlignment="1">
      <alignment horizontal="center"/>
    </xf>
    <xf numFmtId="170" fontId="14" fillId="6" borderId="38" xfId="0" applyNumberFormat="1" applyFont="1" applyFill="1" applyBorder="1" applyAlignment="1">
      <alignment horizontal="center"/>
    </xf>
    <xf numFmtId="170" fontId="14" fillId="6" borderId="39" xfId="0" applyNumberFormat="1" applyFont="1" applyFill="1" applyBorder="1" applyAlignment="1">
      <alignment horizontal="center"/>
    </xf>
    <xf numFmtId="0" fontId="16" fillId="2" borderId="40" xfId="0" applyFont="1" applyFill="1" applyBorder="1"/>
    <xf numFmtId="0" fontId="14" fillId="2" borderId="41" xfId="0" applyFont="1" applyFill="1" applyBorder="1"/>
    <xf numFmtId="0" fontId="17" fillId="2" borderId="41" xfId="0" applyFont="1" applyFill="1" applyBorder="1" applyAlignment="1">
      <alignment horizontal="center" vertical="center"/>
    </xf>
    <xf numFmtId="0" fontId="17" fillId="2" borderId="42" xfId="0" applyFont="1" applyFill="1" applyBorder="1" applyAlignment="1">
      <alignment horizontal="center" vertical="center"/>
    </xf>
    <xf numFmtId="0" fontId="14" fillId="10" borderId="43" xfId="0" applyFont="1" applyFill="1" applyBorder="1"/>
    <xf numFmtId="0" fontId="20" fillId="11" borderId="0" xfId="0" applyFont="1" applyFill="1" applyBorder="1"/>
    <xf numFmtId="4" fontId="14" fillId="6" borderId="12" xfId="0" applyNumberFormat="1" applyFont="1" applyFill="1" applyBorder="1" applyAlignment="1">
      <alignment horizontal="center"/>
    </xf>
    <xf numFmtId="0" fontId="20" fillId="11" borderId="5" xfId="0" applyFont="1" applyFill="1" applyBorder="1"/>
    <xf numFmtId="0" fontId="18" fillId="11" borderId="14" xfId="0" applyFont="1" applyFill="1" applyBorder="1"/>
    <xf numFmtId="4" fontId="14" fillId="6" borderId="44" xfId="0" applyNumberFormat="1" applyFont="1" applyFill="1" applyBorder="1" applyAlignment="1">
      <alignment horizontal="center"/>
    </xf>
    <xf numFmtId="4" fontId="14" fillId="6" borderId="45" xfId="0" applyNumberFormat="1" applyFont="1" applyFill="1" applyBorder="1" applyAlignment="1">
      <alignment horizontal="center"/>
    </xf>
    <xf numFmtId="4" fontId="14" fillId="6" borderId="46" xfId="0" applyNumberFormat="1" applyFont="1" applyFill="1" applyBorder="1" applyAlignment="1">
      <alignment horizontal="center"/>
    </xf>
    <xf numFmtId="0" fontId="14" fillId="10" borderId="33" xfId="0" applyFont="1" applyFill="1" applyBorder="1" applyAlignment="1">
      <alignment horizontal="left"/>
    </xf>
    <xf numFmtId="0" fontId="14" fillId="10" borderId="34" xfId="0" applyFont="1" applyFill="1" applyBorder="1" applyAlignment="1">
      <alignment horizontal="left"/>
    </xf>
    <xf numFmtId="0" fontId="2" fillId="4" borderId="8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8" borderId="2" xfId="0" applyFont="1" applyFill="1" applyBorder="1" applyAlignment="1">
      <alignment horizontal="center"/>
    </xf>
    <xf numFmtId="0" fontId="5" fillId="8" borderId="36" xfId="0" applyFont="1" applyFill="1" applyBorder="1" applyAlignment="1">
      <alignment horizontal="center"/>
    </xf>
    <xf numFmtId="0" fontId="5" fillId="8" borderId="27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0" fontId="5" fillId="8" borderId="28" xfId="0" applyFont="1" applyFill="1" applyBorder="1" applyAlignment="1">
      <alignment horizontal="center"/>
    </xf>
    <xf numFmtId="0" fontId="5" fillId="9" borderId="29" xfId="0" applyFont="1" applyFill="1" applyBorder="1" applyAlignment="1">
      <alignment horizontal="center"/>
    </xf>
    <xf numFmtId="0" fontId="5" fillId="9" borderId="2" xfId="0" applyFont="1" applyFill="1" applyBorder="1" applyAlignment="1">
      <alignment horizontal="center"/>
    </xf>
    <xf numFmtId="0" fontId="5" fillId="9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" fillId="3" borderId="0" xfId="0" applyFont="1" applyFill="1" applyAlignment="1">
      <alignment horizontal="center"/>
    </xf>
  </cellXfs>
  <cellStyles count="7">
    <cellStyle name="Hyperlink" xfId="6" builtinId="8"/>
    <cellStyle name="Normal" xfId="0" builtinId="0"/>
    <cellStyle name="Normal 2" xfId="1"/>
    <cellStyle name="Standaard_Fyscon_Fysconsamen2" xfId="3"/>
    <cellStyle name="Standaard_Fysconsamen2" xfId="2"/>
    <cellStyle name="Standaard_Gas" xfId="4"/>
    <cellStyle name="Standaard_Gas_1" xfId="5"/>
  </cellStyles>
  <dxfs count="0"/>
  <tableStyles count="0" defaultTableStyle="TableStyleMedium2" defaultPivotStyle="PivotStyleLight16"/>
  <colors>
    <mruColors>
      <color rgb="FFCAEDFB"/>
      <color rgb="FFFFFF99"/>
      <color rgb="FFFFFFCC"/>
      <color rgb="FFFF99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3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2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worksheet" Target="worksheets/sheet8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6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Meetwaarden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Data!$D$2:$D$3</c:f>
              <c:strCache>
                <c:ptCount val="2"/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Data!$D$4:$D$171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14-47F5-AAA4-996964D02090}"/>
            </c:ext>
          </c:extLst>
        </c:ser>
        <c:ser>
          <c:idx val="1"/>
          <c:order val="1"/>
          <c:tx>
            <c:strRef>
              <c:f>Data!$G$2:$G$3</c:f>
              <c:strCache>
                <c:ptCount val="2"/>
              </c:strCache>
            </c:strRef>
          </c:tx>
          <c:spPr>
            <a:ln w="127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Data!$G$4:$G$171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14-47F5-AAA4-996964D02090}"/>
            </c:ext>
          </c:extLst>
        </c:ser>
        <c:ser>
          <c:idx val="2"/>
          <c:order val="2"/>
          <c:tx>
            <c:strRef>
              <c:f>Data!$H$2:$H$3</c:f>
              <c:strCache>
                <c:ptCount val="2"/>
              </c:strCache>
            </c:strRef>
          </c:tx>
          <c:spPr>
            <a:ln w="12700" cap="rnd">
              <a:solidFill>
                <a:srgbClr val="00FF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Data!$H$4:$H$171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14-47F5-AAA4-996964D02090}"/>
            </c:ext>
          </c:extLst>
        </c:ser>
        <c:ser>
          <c:idx val="3"/>
          <c:order val="3"/>
          <c:tx>
            <c:strRef>
              <c:f>Data!$I$2:$I$3</c:f>
              <c:strCache>
                <c:ptCount val="2"/>
              </c:strCache>
            </c:strRef>
          </c:tx>
          <c:spPr>
            <a:ln w="12700" cap="rnd">
              <a:solidFill>
                <a:srgbClr val="00808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Data!$I$4:$I$171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A14-47F5-AAA4-996964D02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243792"/>
        <c:axId val="358224400"/>
      </c:scatterChart>
      <c:scatterChart>
        <c:scatterStyle val="lineMarker"/>
        <c:varyColors val="0"/>
        <c:ser>
          <c:idx val="4"/>
          <c:order val="4"/>
          <c:tx>
            <c:strRef>
              <c:f>Data!$L$2:$L$3</c:f>
              <c:strCache>
                <c:ptCount val="2"/>
                <c:pt idx="0">
                  <c:v>m_gas_tot</c:v>
                </c:pt>
                <c:pt idx="1">
                  <c:v>0</c:v>
                </c:pt>
              </c:strCache>
            </c:strRef>
          </c:tx>
          <c:spPr>
            <a:ln w="12700" cap="rnd">
              <a:solidFill>
                <a:srgbClr val="99336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Data!$L$4:$L$171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A14-47F5-AAA4-996964D02090}"/>
            </c:ext>
          </c:extLst>
        </c:ser>
        <c:ser>
          <c:idx val="5"/>
          <c:order val="5"/>
          <c:tx>
            <c:strRef>
              <c:f>Data!$O$2:$O$3</c:f>
              <c:strCache>
                <c:ptCount val="2"/>
                <c:pt idx="0">
                  <c:v>h_gas_str2</c:v>
                </c:pt>
              </c:strCache>
            </c:strRef>
          </c:tx>
          <c:spPr>
            <a:ln w="12700" cap="rnd">
              <a:solidFill>
                <a:srgbClr val="0066CC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Data!$O$4:$O$171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A14-47F5-AAA4-996964D02090}"/>
            </c:ext>
          </c:extLst>
        </c:ser>
        <c:ser>
          <c:idx val="6"/>
          <c:order val="6"/>
          <c:tx>
            <c:strRef>
              <c:f>Data!$P$2:$P$3</c:f>
              <c:strCache>
                <c:ptCount val="2"/>
                <c:pt idx="0">
                  <c:v>dh_gas_str1</c:v>
                </c:pt>
                <c:pt idx="1">
                  <c:v>0</c:v>
                </c:pt>
              </c:strCache>
            </c:strRef>
          </c:tx>
          <c:spPr>
            <a:ln w="12700" cap="rnd">
              <a:solidFill>
                <a:srgbClr val="FFCC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Data!$P$4:$P$171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A14-47F5-AAA4-996964D02090}"/>
            </c:ext>
          </c:extLst>
        </c:ser>
        <c:ser>
          <c:idx val="7"/>
          <c:order val="7"/>
          <c:tx>
            <c:strRef>
              <c:f>Data!$Q$2:$Q$3</c:f>
              <c:strCache>
                <c:ptCount val="2"/>
                <c:pt idx="0">
                  <c:v>dh_gas_str2</c:v>
                </c:pt>
                <c:pt idx="1">
                  <c:v>0</c:v>
                </c:pt>
              </c:strCache>
            </c:strRef>
          </c:tx>
          <c:spPr>
            <a:ln w="12700" cap="rnd">
              <a:solidFill>
                <a:srgbClr val="00336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Data!$Q$4:$Q$171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A14-47F5-AAA4-996964D02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474224"/>
        <c:axId val="274159992"/>
      </c:scatterChart>
      <c:valAx>
        <c:axId val="73724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h: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224400"/>
        <c:crosses val="autoZero"/>
        <c:crossBetween val="midCat"/>
      </c:valAx>
      <c:valAx>
        <c:axId val="35822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 T_omg,   p_gas_in,   T_gas_in,   V_gas_str1,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43792"/>
        <c:crosses val="autoZero"/>
        <c:crossBetween val="midCat"/>
      </c:valAx>
      <c:valAx>
        <c:axId val="27415999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  V_gas_str2  V_gas_br  Pe_WP1  Pe_WP2,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474224"/>
        <c:crosses val="max"/>
        <c:crossBetween val="midCat"/>
      </c:valAx>
      <c:valAx>
        <c:axId val="383474224"/>
        <c:scaling>
          <c:orientation val="minMax"/>
        </c:scaling>
        <c:delete val="1"/>
        <c:axPos val="b"/>
        <c:numFmt formatCode="dd/mm/yy" sourceLinked="1"/>
        <c:majorTickMark val="out"/>
        <c:minorTickMark val="none"/>
        <c:tickLblPos val="nextTo"/>
        <c:crossAx val="274159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Meetwaarden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Data!$G$2:$G$3</c:f>
              <c:strCache>
                <c:ptCount val="2"/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Data!$G$4:$G$171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BA-49AF-A05B-F92101D8893A}"/>
            </c:ext>
          </c:extLst>
        </c:ser>
        <c:ser>
          <c:idx val="1"/>
          <c:order val="1"/>
          <c:tx>
            <c:strRef>
              <c:f>Data!$J$2:$J$3</c:f>
              <c:strCache>
                <c:ptCount val="2"/>
                <c:pt idx="0">
                  <c:v>m_gas_str1</c:v>
                </c:pt>
                <c:pt idx="1">
                  <c:v>0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Data!$J$4:$J$171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BA-49AF-A05B-F92101D8893A}"/>
            </c:ext>
          </c:extLst>
        </c:ser>
        <c:ser>
          <c:idx val="2"/>
          <c:order val="2"/>
          <c:tx>
            <c:strRef>
              <c:f>Data!$M$2:$M$3</c:f>
              <c:strCache>
                <c:ptCount val="2"/>
                <c:pt idx="0">
                  <c:v>h_gas_in</c:v>
                </c:pt>
              </c:strCache>
            </c:strRef>
          </c:tx>
          <c:spPr>
            <a:ln w="12700" cap="rnd">
              <a:solidFill>
                <a:srgbClr val="00FF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Data!$M$4:$M$171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BA-49AF-A05B-F92101D8893A}"/>
            </c:ext>
          </c:extLst>
        </c:ser>
        <c:ser>
          <c:idx val="3"/>
          <c:order val="3"/>
          <c:tx>
            <c:strRef>
              <c:f>Data!$H$2:$H$3</c:f>
              <c:strCache>
                <c:ptCount val="2"/>
              </c:strCache>
            </c:strRef>
          </c:tx>
          <c:spPr>
            <a:ln w="12700" cap="rnd">
              <a:solidFill>
                <a:srgbClr val="00808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Data!$H$4:$H$171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7BA-49AF-A05B-F92101D8893A}"/>
            </c:ext>
          </c:extLst>
        </c:ser>
        <c:ser>
          <c:idx val="4"/>
          <c:order val="4"/>
          <c:tx>
            <c:strRef>
              <c:f>Data!$K$2:$K$3</c:f>
              <c:strCache>
                <c:ptCount val="2"/>
                <c:pt idx="0">
                  <c:v>m_gas_str2</c:v>
                </c:pt>
                <c:pt idx="1">
                  <c:v>0</c:v>
                </c:pt>
              </c:strCache>
            </c:strRef>
          </c:tx>
          <c:spPr>
            <a:ln w="12700" cap="rnd">
              <a:solidFill>
                <a:srgbClr val="99336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Data!$K$4:$K$171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BA-49AF-A05B-F92101D8893A}"/>
            </c:ext>
          </c:extLst>
        </c:ser>
        <c:ser>
          <c:idx val="5"/>
          <c:order val="5"/>
          <c:tx>
            <c:strRef>
              <c:f>Data!$N$2:$N$3</c:f>
              <c:strCache>
                <c:ptCount val="2"/>
                <c:pt idx="0">
                  <c:v>h_gas_str1</c:v>
                </c:pt>
              </c:strCache>
            </c:strRef>
          </c:tx>
          <c:spPr>
            <a:ln w="12700" cap="rnd">
              <a:solidFill>
                <a:srgbClr val="0066CC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Data!$N$4:$N$171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BA-49AF-A05B-F92101D8893A}"/>
            </c:ext>
          </c:extLst>
        </c:ser>
        <c:ser>
          <c:idx val="6"/>
          <c:order val="6"/>
          <c:tx>
            <c:strRef>
              <c:f>Data!$Z$2:$Z$3</c:f>
              <c:strCache>
                <c:ptCount val="2"/>
                <c:pt idx="0">
                  <c:v>Q_OV</c:v>
                </c:pt>
                <c:pt idx="1">
                  <c:v>0</c:v>
                </c:pt>
              </c:strCache>
            </c:strRef>
          </c:tx>
          <c:spPr>
            <a:ln w="12700" cap="rnd">
              <a:solidFill>
                <a:srgbClr val="FFCC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Data!$Z$4:$Z$171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7BA-49AF-A05B-F92101D8893A}"/>
            </c:ext>
          </c:extLst>
        </c:ser>
        <c:ser>
          <c:idx val="7"/>
          <c:order val="7"/>
          <c:tx>
            <c:strRef>
              <c:f>Data!$AC$2:$AC$3</c:f>
              <c:strCache>
                <c:ptCount val="2"/>
                <c:pt idx="0">
                  <c:v>WZ_rend</c:v>
                </c:pt>
              </c:strCache>
            </c:strRef>
          </c:tx>
          <c:spPr>
            <a:ln w="12700" cap="rnd">
              <a:solidFill>
                <a:srgbClr val="00336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Data!$AC$4:$AC$171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7BA-49AF-A05B-F92101D88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243792"/>
        <c:axId val="358224400"/>
      </c:scatterChart>
      <c:valAx>
        <c:axId val="73724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h: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224400"/>
        <c:crosses val="autoZero"/>
        <c:crossBetween val="midCat"/>
      </c:valAx>
      <c:valAx>
        <c:axId val="35822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 p_gas_in,   p_uit_str1,   p_uit_str2,   T_gas_in,   T_uit_str1,   T_uit_str2,   Tb_1,   Tb_4,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43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Meetwaarden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Data!$AT$2:$AT$3</c:f>
              <c:strCache>
                <c:ptCount val="2"/>
                <c:pt idx="0">
                  <c:v>totrend</c:v>
                </c:pt>
              </c:strCache>
            </c:strRef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Data!$AT$4:$AT$171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D-44A4-B77E-AEBEEC0CD9BF}"/>
            </c:ext>
          </c:extLst>
        </c:ser>
        <c:ser>
          <c:idx val="1"/>
          <c:order val="1"/>
          <c:tx>
            <c:strRef>
              <c:f>Data!$AU$2:$AU$3</c:f>
              <c:strCache>
                <c:ptCount val="2"/>
                <c:pt idx="0">
                  <c:v>totrend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Data!$AU$4:$AU$171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4D-44A4-B77E-AEBEEC0CD9BF}"/>
            </c:ext>
          </c:extLst>
        </c:ser>
        <c:ser>
          <c:idx val="2"/>
          <c:order val="2"/>
          <c:tx>
            <c:strRef>
              <c:f>Data!$AX$2:$AX$3</c:f>
              <c:strCache>
                <c:ptCount val="2"/>
                <c:pt idx="0">
                  <c:v>totrend</c:v>
                </c:pt>
              </c:strCache>
            </c:strRef>
          </c:tx>
          <c:spPr>
            <a:ln w="12700" cap="rnd">
              <a:solidFill>
                <a:srgbClr val="00FF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Data!$AX$4:$AX$171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4D-44A4-B77E-AEBEEC0CD9BF}"/>
            </c:ext>
          </c:extLst>
        </c:ser>
        <c:ser>
          <c:idx val="3"/>
          <c:order val="3"/>
          <c:tx>
            <c:strRef>
              <c:f>Data!$AZ$2:$AZ$3</c:f>
              <c:strCache>
                <c:ptCount val="2"/>
                <c:pt idx="0">
                  <c:v>totrend</c:v>
                </c:pt>
              </c:strCache>
            </c:strRef>
          </c:tx>
          <c:spPr>
            <a:ln w="12700" cap="rnd">
              <a:solidFill>
                <a:srgbClr val="00808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Data!$A$4:$A$171</c:f>
              <c:numCache>
                <c:formatCode>dd/mm/yy</c:formatCode>
                <c:ptCount val="168"/>
              </c:numCache>
            </c:numRef>
          </c:xVal>
          <c:yVal>
            <c:numRef>
              <c:f>Data!$AZ$4:$AZ$171</c:f>
              <c:numCache>
                <c:formatCode>General</c:formatCode>
                <c:ptCount val="1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4D-44A4-B77E-AEBEEC0CD9BF}"/>
            </c:ext>
          </c:extLst>
        </c:ser>
        <c:ser>
          <c:idx val="4"/>
          <c:order val="4"/>
          <c:spPr>
            <a:ln w="12700" cap="rnd">
              <a:solidFill>
                <a:srgbClr val="993366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0-18E1-448A-9691-92570960A1C2}"/>
            </c:ext>
          </c:extLst>
        </c:ser>
        <c:ser>
          <c:idx val="6"/>
          <c:order val="6"/>
          <c:spPr>
            <a:ln w="12700" cap="rnd">
              <a:solidFill>
                <a:srgbClr val="FFCC00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2-18E1-448A-9691-92570960A1C2}"/>
            </c:ext>
          </c:extLst>
        </c:ser>
        <c:ser>
          <c:idx val="7"/>
          <c:order val="7"/>
          <c:spPr>
            <a:ln w="12700" cap="rnd">
              <a:solidFill>
                <a:srgbClr val="003366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3-18E1-448A-9691-92570960A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243792"/>
        <c:axId val="358224400"/>
      </c:scatterChart>
      <c:scatterChart>
        <c:scatterStyle val="lineMarker"/>
        <c:varyColors val="0"/>
        <c:ser>
          <c:idx val="5"/>
          <c:order val="5"/>
          <c:spPr>
            <a:ln w="12700" cap="rnd">
              <a:solidFill>
                <a:srgbClr val="0066CC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1-18E1-448A-9691-92570960A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406976"/>
        <c:axId val="455405896"/>
      </c:scatterChart>
      <c:valAx>
        <c:axId val="73724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h: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224400"/>
        <c:crosses val="autoZero"/>
        <c:crossBetween val="midCat"/>
      </c:valAx>
      <c:valAx>
        <c:axId val="35822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 Q_str1,   Q_str2,   Q_ket,   Q_WP,   ketelrend,   WZ_rend,   totrend,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43792"/>
        <c:crosses val="autoZero"/>
        <c:crossBetween val="midCat"/>
      </c:valAx>
      <c:valAx>
        <c:axId val="45540589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  COP_WP,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406976"/>
        <c:crosses val="max"/>
        <c:crossBetween val="midCat"/>
      </c:valAx>
      <c:valAx>
        <c:axId val="455406976"/>
        <c:scaling>
          <c:orientation val="minMax"/>
        </c:scaling>
        <c:delete val="1"/>
        <c:axPos val="b"/>
        <c:majorTickMark val="out"/>
        <c:minorTickMark val="none"/>
        <c:tickLblPos val="nextTo"/>
        <c:crossAx val="455405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9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/>
  <sheetViews>
    <sheetView zoomScale="9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3"/>
  <sheetViews>
    <sheetView zoomScale="9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5</xdr:row>
          <xdr:rowOff>28575</xdr:rowOff>
        </xdr:from>
        <xdr:to>
          <xdr:col>4</xdr:col>
          <xdr:colOff>352425</xdr:colOff>
          <xdr:row>8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Inlezen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504825</xdr:colOff>
          <xdr:row>9</xdr:row>
          <xdr:rowOff>66675</xdr:rowOff>
        </xdr:from>
        <xdr:to>
          <xdr:col>4</xdr:col>
          <xdr:colOff>352425</xdr:colOff>
          <xdr:row>12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grafieken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5326" cy="628442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0.06553</cdr:x>
      <cdr:y>0.02316</cdr:y>
    </cdr:from>
    <cdr:to>
      <cdr:x>0.33854</cdr:x>
      <cdr:y>0.05659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908FFA-CBBD-AE55-38C1-C689EBB151AC}"/>
            </a:ext>
          </a:extLst>
        </cdr:cNvPr>
        <cdr:cNvSpPr txBox="1"/>
      </cdr:nvSpPr>
      <cdr:spPr>
        <a:xfrm xmlns:a="http://schemas.openxmlformats.org/drawingml/2006/main">
          <a:off x="609383" y="140776"/>
          <a:ext cx="253871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 b="0" i="0"/>
            <a:t>Weeknummer 43, uurwaarden</a:t>
          </a:r>
        </a:p>
      </cdr:txBody>
    </cdr:sp>
  </cdr:relSizeAnchor>
  <cdr:relSizeAnchor xmlns:cdr="http://schemas.openxmlformats.org/drawingml/2006/chartDrawing">
    <cdr:from>
      <cdr:x>0.57542</cdr:x>
      <cdr:y>0.01408</cdr:y>
    </cdr:from>
    <cdr:to>
      <cdr:x>0.9581</cdr:x>
      <cdr:y>0.04752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186D0C7-FB22-A713-4A7B-5C7EBC327661}"/>
            </a:ext>
          </a:extLst>
        </cdr:cNvPr>
        <cdr:cNvSpPr txBox="1"/>
      </cdr:nvSpPr>
      <cdr:spPr>
        <a:xfrm xmlns:a="http://schemas.openxmlformats.org/drawingml/2006/main">
          <a:off x="4988517" y="88545"/>
          <a:ext cx="3317605" cy="210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00" b="0" i="0"/>
            <a:t>van 21-10-2024, 00:00:00 tot 27-10-2024, 23:00:00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5326" cy="628442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0.06553</cdr:x>
      <cdr:y>0.02316</cdr:y>
    </cdr:from>
    <cdr:to>
      <cdr:x>0.33854</cdr:x>
      <cdr:y>0.05659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908FFA-CBBD-AE55-38C1-C689EBB151AC}"/>
            </a:ext>
          </a:extLst>
        </cdr:cNvPr>
        <cdr:cNvSpPr txBox="1"/>
      </cdr:nvSpPr>
      <cdr:spPr>
        <a:xfrm xmlns:a="http://schemas.openxmlformats.org/drawingml/2006/main">
          <a:off x="609383" y="140776"/>
          <a:ext cx="253871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 b="0" i="0"/>
            <a:t>Weeknummer 43, uurwaarden</a:t>
          </a:r>
        </a:p>
      </cdr:txBody>
    </cdr:sp>
  </cdr:relSizeAnchor>
  <cdr:relSizeAnchor xmlns:cdr="http://schemas.openxmlformats.org/drawingml/2006/chartDrawing">
    <cdr:from>
      <cdr:x>0.58473</cdr:x>
      <cdr:y>0.01408</cdr:y>
    </cdr:from>
    <cdr:to>
      <cdr:x>0.98324</cdr:x>
      <cdr:y>0.04752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186D0C7-FB22-A713-4A7B-5C7EBC327661}"/>
            </a:ext>
          </a:extLst>
        </cdr:cNvPr>
        <cdr:cNvSpPr txBox="1"/>
      </cdr:nvSpPr>
      <cdr:spPr>
        <a:xfrm xmlns:a="http://schemas.openxmlformats.org/drawingml/2006/main">
          <a:off x="5069237" y="88545"/>
          <a:ext cx="3454831" cy="210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00" b="0" i="0"/>
            <a:t>van 21-10-2024, 00:00:00 tot 27-10-2024, 23:00:00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55326" cy="628442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0.06553</cdr:x>
      <cdr:y>0.02316</cdr:y>
    </cdr:from>
    <cdr:to>
      <cdr:x>0.33854</cdr:x>
      <cdr:y>0.05659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908FFA-CBBD-AE55-38C1-C689EBB151AC}"/>
            </a:ext>
          </a:extLst>
        </cdr:cNvPr>
        <cdr:cNvSpPr txBox="1"/>
      </cdr:nvSpPr>
      <cdr:spPr>
        <a:xfrm xmlns:a="http://schemas.openxmlformats.org/drawingml/2006/main">
          <a:off x="609383" y="140776"/>
          <a:ext cx="253871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 b="0" i="0"/>
            <a:t>Weeknummer 43, uurwaarden</a:t>
          </a:r>
        </a:p>
      </cdr:txBody>
    </cdr:sp>
  </cdr:relSizeAnchor>
  <cdr:relSizeAnchor xmlns:cdr="http://schemas.openxmlformats.org/drawingml/2006/chartDrawing">
    <cdr:from>
      <cdr:x>0.57801</cdr:x>
      <cdr:y>0.0128</cdr:y>
    </cdr:from>
    <cdr:to>
      <cdr:x>0.96276</cdr:x>
      <cdr:y>0.04624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186D0C7-FB22-A713-4A7B-5C7EBC327661}"/>
            </a:ext>
          </a:extLst>
        </cdr:cNvPr>
        <cdr:cNvSpPr txBox="1"/>
      </cdr:nvSpPr>
      <cdr:spPr>
        <a:xfrm xmlns:a="http://schemas.openxmlformats.org/drawingml/2006/main">
          <a:off x="5010991" y="80473"/>
          <a:ext cx="3335492" cy="210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00" b="0" i="0"/>
            <a:t>van 21-10-2024, 00:00:00 tot 27-10-2024, 23:00:00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../../../../../Users/USER/AppData/Roaming/Microsoft/AppData/Local/Microsoft/Windows/INetCache/Content.Outlook/AppData/Local/Microsoft/Windows/INetCache/Content.Outlook/55N7LUJG/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2406"/>
  <sheetViews>
    <sheetView tabSelected="1" zoomScale="96" zoomScaleNormal="96" workbookViewId="0">
      <selection activeCell="P30" sqref="P30"/>
    </sheetView>
  </sheetViews>
  <sheetFormatPr defaultColWidth="9.125" defaultRowHeight="14.25"/>
  <cols>
    <col min="1" max="10" width="9.125" style="1"/>
    <col min="11" max="11" width="12.25" style="1" customWidth="1"/>
    <col min="12" max="15" width="11.25" style="1" customWidth="1"/>
    <col min="16" max="23" width="9.125" style="1"/>
    <col min="24" max="24" width="13.875" style="1" bestFit="1" customWidth="1"/>
    <col min="25" max="25" width="9.125" style="1"/>
    <col min="26" max="26" width="10.125" style="1" customWidth="1"/>
    <col min="27" max="27" width="11.375" style="1" customWidth="1"/>
    <col min="28" max="28" width="10" style="1" customWidth="1"/>
    <col min="29" max="29" width="9.75" style="1" customWidth="1"/>
    <col min="30" max="31" width="5.25" style="57" customWidth="1"/>
    <col min="32" max="32" width="4.25" style="1" customWidth="1"/>
    <col min="33" max="33" width="4.125" style="1" customWidth="1"/>
    <col min="34" max="34" width="22.375" style="1" customWidth="1"/>
    <col min="35" max="16384" width="9.125" style="1"/>
  </cols>
  <sheetData>
    <row r="1" spans="1:35" ht="15">
      <c r="A1" s="104" t="s">
        <v>333</v>
      </c>
      <c r="L1" s="157" t="s">
        <v>216</v>
      </c>
      <c r="M1" s="158"/>
      <c r="N1" s="158"/>
      <c r="O1" s="159"/>
      <c r="T1" s="1" t="s">
        <v>284</v>
      </c>
      <c r="Y1" s="1" t="s">
        <v>275</v>
      </c>
      <c r="AA1" s="1" t="s">
        <v>219</v>
      </c>
      <c r="AB1" s="1" t="s">
        <v>220</v>
      </c>
      <c r="AC1" s="1" t="s">
        <v>221</v>
      </c>
      <c r="AF1" s="156" t="s">
        <v>245</v>
      </c>
      <c r="AG1" s="156"/>
      <c r="AH1" s="156"/>
      <c r="AI1" s="1" t="e">
        <f ca="1">"Data!$A" &amp; "$"&amp; Z6 &amp; ":$A"&amp; "$"&amp; Z7</f>
        <v>#N/A</v>
      </c>
    </row>
    <row r="2" spans="1:35">
      <c r="A2" s="1" t="s">
        <v>334</v>
      </c>
      <c r="C2" s="1" t="str">
        <f>IF(MID(A3,2,3)="min","minutenwaarden","uurwaarden")</f>
        <v>uurwaarden</v>
      </c>
      <c r="L2" s="160" t="s">
        <v>217</v>
      </c>
      <c r="M2" s="161"/>
      <c r="N2" s="160" t="s">
        <v>218</v>
      </c>
      <c r="O2" s="161"/>
      <c r="T2" s="1">
        <v>4</v>
      </c>
      <c r="U2" s="1">
        <f ca="1">COUNTIF(Data!$B$4:$B$100000,INDIRECT("Data!B"&amp;T2))</f>
        <v>0</v>
      </c>
      <c r="Y2" s="1" t="str">
        <f>TEXT(Data!B4, "DD-MM-YY")</f>
        <v>00-01-00</v>
      </c>
      <c r="Z2" s="65" t="e">
        <f>MATCH(L4,Data!B4:B171,0)+3</f>
        <v>#N/A</v>
      </c>
      <c r="AA2" s="98">
        <f ca="1">IF(ISNUMBER(T2),INDIRECT("Data!B"&amp;T2),"")</f>
        <v>0</v>
      </c>
      <c r="AB2" s="100" t="e">
        <f ca="1">INDIRECT("Data!C"&amp; $Z$2+ROW()-2)</f>
        <v>#N/A</v>
      </c>
      <c r="AC2" s="100" t="e">
        <f ca="1">INDIRECT("Data!C"&amp; Z3)</f>
        <v>#N/A</v>
      </c>
      <c r="AE2" s="57" t="s">
        <v>71</v>
      </c>
      <c r="AF2" s="1">
        <v>1</v>
      </c>
      <c r="AG2" s="1" t="str">
        <f>IFERROR(VLOOKUP(P8+3,$AD$2:$AE$66,2,0),"")</f>
        <v/>
      </c>
      <c r="AH2" s="1" t="str">
        <f>IF(AG2="","","Data!$" &amp; AG2 &amp; "$"&amp; $Z$6 &amp; ":$" &amp; AG2 &amp; "$"&amp; $Z$7)</f>
        <v/>
      </c>
      <c r="AI2" s="1" t="str">
        <f>IF(AG2="","","Data!$"&amp; AG2 &amp; "$2:$" &amp; AG2 &amp; "$3")</f>
        <v/>
      </c>
    </row>
    <row r="3" spans="1:35">
      <c r="A3" s="1" t="s">
        <v>288</v>
      </c>
      <c r="L3" s="58" t="s">
        <v>0</v>
      </c>
      <c r="M3" s="58" t="s">
        <v>1</v>
      </c>
      <c r="N3" s="58" t="s">
        <v>0</v>
      </c>
      <c r="O3" s="58" t="s">
        <v>1</v>
      </c>
      <c r="T3" s="1" t="str">
        <f ca="1">IFERROR(IF(T2+U2&gt;$Z$7,"",T2+U2),"")</f>
        <v/>
      </c>
      <c r="U3" s="1">
        <f ca="1">COUNTIF(Data!$B$4:$B$100000,INDIRECT("Data!B"&amp;T3))</f>
        <v>0</v>
      </c>
      <c r="Y3" s="98"/>
      <c r="Z3" s="65" t="e">
        <f>MATCH(N4,Data!B4:B171,0)+3</f>
        <v>#N/A</v>
      </c>
      <c r="AA3" s="98" t="str">
        <f t="shared" ref="AA3:AA39" ca="1" si="0">IF(ISNUMBER(T3),INDIRECT("Data!B"&amp;T3),"")</f>
        <v/>
      </c>
      <c r="AB3" s="100" t="e">
        <f ca="1">IF($L$4&lt;&gt;INDIRECT("Data!B"&amp;$Z$2+ROW()-2),"",INDIRECT("Data!C"&amp;$Z$2+ROW()-2))</f>
        <v>#N/A</v>
      </c>
      <c r="AC3" s="100" t="e">
        <f ca="1">IF($N$4&lt;&gt;INDIRECT("Data!B"&amp;$Z$3+ROW()-2),"",INDIRECT("Data!C"&amp;$Z$3+ROW()-2))</f>
        <v>#N/A</v>
      </c>
      <c r="AE3" s="57" t="s">
        <v>76</v>
      </c>
      <c r="AF3" s="1">
        <v>2</v>
      </c>
      <c r="AG3" s="1" t="str">
        <f t="shared" ref="AG3:AG9" si="1">IFERROR(VLOOKUP(P9+3,$AD$2:$AE$66,2,0),"")</f>
        <v/>
      </c>
      <c r="AH3" s="1" t="str">
        <f t="shared" ref="AH3:AH9" si="2">IF(AG3="","","Data!$" &amp; AG3 &amp; "$"&amp; $Z$6 &amp; ":$" &amp; AG3 &amp; "$"&amp; $Z$7)</f>
        <v/>
      </c>
      <c r="AI3" s="1" t="str">
        <f t="shared" ref="AI3:AI9" si="3">IF(AG3="","","Data!$"&amp; AG3 &amp; "$2:$" &amp; AG3 &amp; "$3")</f>
        <v/>
      </c>
    </row>
    <row r="4" spans="1:35">
      <c r="A4" s="1" t="s">
        <v>247</v>
      </c>
      <c r="B4" s="57" t="e">
        <f ca="1">WEEKNUM(DATE(IF(LEN(RIGHT(AA2,4))=4,RIGHT(AA2,4),RIGHT(AA2,2)),MID(AA2,4,2),LEFT(AA2,2)),21)</f>
        <v>#VALUE!</v>
      </c>
      <c r="L4" s="102" t="s">
        <v>286</v>
      </c>
      <c r="M4" s="99" t="s">
        <v>273</v>
      </c>
      <c r="N4" s="102" t="s">
        <v>287</v>
      </c>
      <c r="O4" s="99" t="s">
        <v>274</v>
      </c>
      <c r="T4" s="1" t="str">
        <f t="shared" ref="T4:T19" ca="1" si="4">IFERROR(IF(T3+U3&gt;$Z$7,"",T3+U3),"")</f>
        <v/>
      </c>
      <c r="U4" s="1">
        <f ca="1">COUNTIF(Data!$B$4:$B$100000,INDIRECT("Data!B"&amp;T4))</f>
        <v>0</v>
      </c>
      <c r="Z4" s="1" t="e">
        <f>MATCH(L4,A1:A1000,0)</f>
        <v>#N/A</v>
      </c>
      <c r="AA4" s="98" t="str">
        <f t="shared" ca="1" si="0"/>
        <v/>
      </c>
      <c r="AB4" s="100" t="e">
        <f t="shared" ref="AB4:AB50" ca="1" si="5">IF($L$4&lt;&gt;INDIRECT("Data!B"&amp;$Z$2+ROW()-2),"",INDIRECT("Data!C"&amp;$Z$2+ROW()-2))</f>
        <v>#N/A</v>
      </c>
      <c r="AC4" s="100" t="e">
        <f t="shared" ref="AC4:AC50" ca="1" si="6">IF($N$4&lt;&gt;INDIRECT("Data!B"&amp;$Z$3+ROW()-2),"",INDIRECT("Data!C"&amp;$Z$3+ROW()-2))</f>
        <v>#N/A</v>
      </c>
      <c r="AD4" s="57">
        <v>3</v>
      </c>
      <c r="AE4" s="57" t="s">
        <v>77</v>
      </c>
      <c r="AF4" s="1">
        <v>3</v>
      </c>
      <c r="AG4" s="1" t="str">
        <f t="shared" si="1"/>
        <v/>
      </c>
      <c r="AH4" s="1" t="str">
        <f t="shared" si="2"/>
        <v/>
      </c>
      <c r="AI4" s="1" t="str">
        <f t="shared" si="3"/>
        <v/>
      </c>
    </row>
    <row r="5" spans="1:35">
      <c r="L5" s="71" t="e">
        <f>L4+M4</f>
        <v>#VALUE!</v>
      </c>
      <c r="M5" s="69"/>
      <c r="N5" s="71">
        <f>N4+O4</f>
        <v>45362.958333333336</v>
      </c>
      <c r="T5" s="1" t="str">
        <f t="shared" ca="1" si="4"/>
        <v/>
      </c>
      <c r="U5" s="1">
        <f ca="1">COUNTIF(Data!$B$4:$B$100000,INDIRECT("Data!B"&amp;T5))</f>
        <v>0</v>
      </c>
      <c r="Z5" s="1" t="e">
        <f>MATCH(N4,A1:A10000,0)</f>
        <v>#N/A</v>
      </c>
      <c r="AA5" s="98" t="str">
        <f t="shared" ca="1" si="0"/>
        <v/>
      </c>
      <c r="AB5" s="100" t="e">
        <f t="shared" ca="1" si="5"/>
        <v>#N/A</v>
      </c>
      <c r="AC5" s="100" t="e">
        <f t="shared" ca="1" si="6"/>
        <v>#N/A</v>
      </c>
      <c r="AD5" s="57">
        <v>4</v>
      </c>
      <c r="AE5" s="57" t="s">
        <v>78</v>
      </c>
      <c r="AF5" s="1">
        <v>4</v>
      </c>
      <c r="AG5" s="1" t="str">
        <f t="shared" si="1"/>
        <v/>
      </c>
      <c r="AH5" s="1" t="str">
        <f t="shared" si="2"/>
        <v/>
      </c>
      <c r="AI5" s="1" t="str">
        <f t="shared" si="3"/>
        <v/>
      </c>
    </row>
    <row r="6" spans="1:35" ht="15">
      <c r="L6" s="155" t="s">
        <v>222</v>
      </c>
      <c r="M6" s="155"/>
      <c r="N6" s="155"/>
      <c r="O6" s="155"/>
      <c r="T6" s="1" t="str">
        <f t="shared" ca="1" si="4"/>
        <v/>
      </c>
      <c r="U6" s="1">
        <f ca="1">COUNTIF(Data!$B$4:$B$100000,INDIRECT("Data!B"&amp;T6))</f>
        <v>0</v>
      </c>
      <c r="Z6" s="65" t="e">
        <f ca="1">Z2+MATCH(M4,$AB$2:$AB$1442,0)-1</f>
        <v>#N/A</v>
      </c>
      <c r="AA6" s="98" t="str">
        <f t="shared" ca="1" si="0"/>
        <v/>
      </c>
      <c r="AB6" s="100" t="e">
        <f t="shared" ca="1" si="5"/>
        <v>#N/A</v>
      </c>
      <c r="AC6" s="100" t="e">
        <f t="shared" ca="1" si="6"/>
        <v>#N/A</v>
      </c>
      <c r="AD6" s="57">
        <v>5</v>
      </c>
      <c r="AE6" s="57" t="s">
        <v>79</v>
      </c>
      <c r="AF6" s="1">
        <v>5</v>
      </c>
      <c r="AG6" s="1" t="str">
        <f t="shared" si="1"/>
        <v/>
      </c>
      <c r="AH6" s="1" t="str">
        <f t="shared" si="2"/>
        <v/>
      </c>
      <c r="AI6" s="1" t="str">
        <f t="shared" si="3"/>
        <v/>
      </c>
    </row>
    <row r="7" spans="1:35">
      <c r="L7" s="58" t="s">
        <v>223</v>
      </c>
      <c r="M7" s="58" t="s">
        <v>224</v>
      </c>
      <c r="N7" s="58" t="s">
        <v>225</v>
      </c>
      <c r="O7" s="58" t="s">
        <v>226</v>
      </c>
      <c r="T7" s="1" t="str">
        <f t="shared" ca="1" si="4"/>
        <v/>
      </c>
      <c r="U7" s="1">
        <f ca="1">COUNTIF(Data!$B$4:$B$100000,INDIRECT("Data!B"&amp;T7))</f>
        <v>0</v>
      </c>
      <c r="Z7" s="1" t="e">
        <f ca="1">Z3+MATCH(O4,$AC$2:$AC$1442,0)-1</f>
        <v>#N/A</v>
      </c>
      <c r="AA7" s="98" t="str">
        <f t="shared" ca="1" si="0"/>
        <v/>
      </c>
      <c r="AB7" s="100" t="e">
        <f t="shared" ca="1" si="5"/>
        <v>#N/A</v>
      </c>
      <c r="AC7" s="100" t="e">
        <f t="shared" ca="1" si="6"/>
        <v>#N/A</v>
      </c>
      <c r="AD7" s="57">
        <v>6</v>
      </c>
      <c r="AE7" s="57" t="s">
        <v>80</v>
      </c>
      <c r="AF7" s="1">
        <v>6</v>
      </c>
      <c r="AG7" s="1" t="str">
        <f t="shared" si="1"/>
        <v/>
      </c>
      <c r="AH7" s="1" t="str">
        <f t="shared" si="2"/>
        <v/>
      </c>
      <c r="AI7" s="1" t="str">
        <f t="shared" si="3"/>
        <v/>
      </c>
    </row>
    <row r="8" spans="1:35">
      <c r="L8" s="60" t="s">
        <v>2</v>
      </c>
      <c r="M8" s="66"/>
      <c r="N8" s="66"/>
      <c r="O8" s="59">
        <v>1</v>
      </c>
      <c r="P8" s="64" t="str">
        <f>IFERROR(MATCH(L8,Data!$D$2:$CA$2,0),"")</f>
        <v/>
      </c>
      <c r="T8" s="1" t="str">
        <f t="shared" ca="1" si="4"/>
        <v/>
      </c>
      <c r="U8" s="1">
        <f ca="1">COUNTIF(Data!$B$4:$B$100000,INDIRECT("Data!B"&amp;T8))</f>
        <v>0</v>
      </c>
      <c r="AA8" s="98" t="str">
        <f t="shared" ca="1" si="0"/>
        <v/>
      </c>
      <c r="AB8" s="100" t="e">
        <f t="shared" ca="1" si="5"/>
        <v>#N/A</v>
      </c>
      <c r="AC8" s="100" t="e">
        <f t="shared" ca="1" si="6"/>
        <v>#N/A</v>
      </c>
      <c r="AD8" s="57">
        <v>7</v>
      </c>
      <c r="AE8" s="57" t="s">
        <v>81</v>
      </c>
      <c r="AF8" s="1">
        <v>7</v>
      </c>
      <c r="AG8" s="1" t="str">
        <f t="shared" si="1"/>
        <v/>
      </c>
      <c r="AH8" s="1" t="str">
        <f t="shared" si="2"/>
        <v/>
      </c>
      <c r="AI8" s="1" t="str">
        <f t="shared" si="3"/>
        <v/>
      </c>
    </row>
    <row r="9" spans="1:35">
      <c r="L9" s="60" t="s">
        <v>3</v>
      </c>
      <c r="M9" s="67"/>
      <c r="N9" s="67"/>
      <c r="O9" s="60">
        <v>1</v>
      </c>
      <c r="P9" s="64" t="str">
        <f>IFERROR(MATCH(L9,Data!$D$2:$CA$2,0),"")</f>
        <v/>
      </c>
      <c r="T9" s="1" t="str">
        <f t="shared" ca="1" si="4"/>
        <v/>
      </c>
      <c r="U9" s="1">
        <f ca="1">COUNTIF(Data!$B$4:$B$100000,INDIRECT("Data!B"&amp;T9))</f>
        <v>0</v>
      </c>
      <c r="AA9" s="98" t="str">
        <f t="shared" ca="1" si="0"/>
        <v/>
      </c>
      <c r="AB9" s="100" t="e">
        <f t="shared" ca="1" si="5"/>
        <v>#N/A</v>
      </c>
      <c r="AC9" s="100" t="e">
        <f t="shared" ca="1" si="6"/>
        <v>#N/A</v>
      </c>
      <c r="AD9" s="57">
        <v>8</v>
      </c>
      <c r="AE9" s="57" t="s">
        <v>228</v>
      </c>
      <c r="AF9" s="1">
        <v>8</v>
      </c>
      <c r="AG9" s="1" t="str">
        <f t="shared" si="1"/>
        <v/>
      </c>
      <c r="AH9" s="1" t="str">
        <f t="shared" si="2"/>
        <v/>
      </c>
      <c r="AI9" s="1" t="str">
        <f t="shared" si="3"/>
        <v/>
      </c>
    </row>
    <row r="10" spans="1:35">
      <c r="L10" s="60" t="s">
        <v>4</v>
      </c>
      <c r="M10" s="67"/>
      <c r="N10" s="67"/>
      <c r="O10" s="60">
        <v>2</v>
      </c>
      <c r="P10" s="64" t="str">
        <f>IFERROR(MATCH(L10,Data!$D$2:$CA$2,0),"")</f>
        <v/>
      </c>
      <c r="T10" s="1" t="str">
        <f t="shared" ca="1" si="4"/>
        <v/>
      </c>
      <c r="U10" s="1">
        <f ca="1">COUNTIF(Data!$B$4:$B$100000,INDIRECT("Data!B"&amp;T10))</f>
        <v>0</v>
      </c>
      <c r="AA10" s="98" t="str">
        <f t="shared" ca="1" si="0"/>
        <v/>
      </c>
      <c r="AB10" s="100" t="e">
        <f t="shared" ca="1" si="5"/>
        <v>#N/A</v>
      </c>
      <c r="AC10" s="100" t="e">
        <f t="shared" ca="1" si="6"/>
        <v>#N/A</v>
      </c>
      <c r="AD10" s="57">
        <v>9</v>
      </c>
      <c r="AE10" s="57" t="s">
        <v>229</v>
      </c>
    </row>
    <row r="11" spans="1:35">
      <c r="L11" s="60" t="s">
        <v>5</v>
      </c>
      <c r="M11" s="67"/>
      <c r="N11" s="67"/>
      <c r="O11" s="60">
        <v>2</v>
      </c>
      <c r="P11" s="64" t="str">
        <f>IFERROR(MATCH(L11,Data!$D$2:$CA$2,0),"")</f>
        <v/>
      </c>
      <c r="T11" s="1" t="str">
        <f t="shared" ca="1" si="4"/>
        <v/>
      </c>
      <c r="U11" s="1">
        <f ca="1">COUNTIF(Data!$B$4:$B$100000,INDIRECT("Data!B"&amp;T11))</f>
        <v>0</v>
      </c>
      <c r="AA11" s="98" t="str">
        <f t="shared" ca="1" si="0"/>
        <v/>
      </c>
      <c r="AB11" s="100" t="e">
        <f t="shared" ca="1" si="5"/>
        <v>#N/A</v>
      </c>
      <c r="AC11" s="100" t="e">
        <f t="shared" ca="1" si="6"/>
        <v>#N/A</v>
      </c>
      <c r="AD11" s="57">
        <v>10</v>
      </c>
      <c r="AE11" s="57" t="s">
        <v>230</v>
      </c>
      <c r="AF11" s="156" t="s">
        <v>246</v>
      </c>
      <c r="AG11" s="156"/>
      <c r="AH11" s="156"/>
      <c r="AI11" s="156"/>
    </row>
    <row r="12" spans="1:35">
      <c r="L12" s="60" t="s">
        <v>329</v>
      </c>
      <c r="M12" s="67"/>
      <c r="N12" s="67"/>
      <c r="O12" s="60">
        <v>2</v>
      </c>
      <c r="P12" s="64" t="str">
        <f>IFERROR(MATCH(L12,Data!$D$2:$CA$2,0),"")</f>
        <v/>
      </c>
      <c r="T12" s="1" t="str">
        <f t="shared" ca="1" si="4"/>
        <v/>
      </c>
      <c r="U12" s="1">
        <f ca="1">COUNTIF(Data!$B$4:$B$100000,INDIRECT("Data!B"&amp;T12))</f>
        <v>0</v>
      </c>
      <c r="AA12" s="98" t="str">
        <f t="shared" ca="1" si="0"/>
        <v/>
      </c>
      <c r="AB12" s="100" t="e">
        <f t="shared" ca="1" si="5"/>
        <v>#N/A</v>
      </c>
      <c r="AC12" s="100" t="e">
        <f t="shared" ca="1" si="6"/>
        <v>#N/A</v>
      </c>
      <c r="AD12" s="57">
        <v>11</v>
      </c>
      <c r="AE12" s="57" t="s">
        <v>15</v>
      </c>
      <c r="AF12" s="1">
        <v>1</v>
      </c>
      <c r="AG12" s="1" t="str">
        <f>IFERROR(VLOOKUP(P18+3,$AD$2:$AE$66,2,0),"")</f>
        <v/>
      </c>
      <c r="AH12" s="1" t="str">
        <f t="shared" ref="AH12:AH19" si="7">IF(AG12="","","Data!" &amp; AG12 &amp; $Z$6 &amp; ":" &amp; AG12 &amp; $Z$7)</f>
        <v/>
      </c>
      <c r="AI12" s="1" t="str">
        <f t="shared" ref="AI12:AI19" si="8">IF(AG12="","","Data!"&amp; AG12 &amp; "2:" &amp; AG12 &amp; "3")</f>
        <v/>
      </c>
    </row>
    <row r="13" spans="1:35">
      <c r="L13" s="60" t="s">
        <v>6</v>
      </c>
      <c r="M13" s="67"/>
      <c r="N13" s="67"/>
      <c r="O13" s="60">
        <v>2</v>
      </c>
      <c r="P13" s="64" t="str">
        <f>IFERROR(MATCH(L13,Data!$D$2:$CA$2,0),"")</f>
        <v/>
      </c>
      <c r="T13" s="1" t="str">
        <f t="shared" ca="1" si="4"/>
        <v/>
      </c>
      <c r="U13" s="1">
        <f ca="1">COUNTIF(Data!$B$4:$B$100000,INDIRECT("Data!B"&amp;T13))</f>
        <v>0</v>
      </c>
      <c r="AA13" s="98" t="str">
        <f t="shared" ca="1" si="0"/>
        <v/>
      </c>
      <c r="AB13" s="100" t="e">
        <f t="shared" ca="1" si="5"/>
        <v>#N/A</v>
      </c>
      <c r="AC13" s="100" t="e">
        <f t="shared" ca="1" si="6"/>
        <v>#N/A</v>
      </c>
      <c r="AD13" s="57">
        <v>12</v>
      </c>
      <c r="AE13" s="57" t="s">
        <v>231</v>
      </c>
      <c r="AF13" s="1">
        <v>2</v>
      </c>
      <c r="AG13" s="1" t="str">
        <f t="shared" ref="AG13:AG19" si="9">IFERROR(VLOOKUP(P19+3,$AD$2:$AE$66,2,0),"")</f>
        <v/>
      </c>
      <c r="AH13" s="1" t="str">
        <f t="shared" si="7"/>
        <v/>
      </c>
      <c r="AI13" s="1" t="str">
        <f t="shared" si="8"/>
        <v/>
      </c>
    </row>
    <row r="14" spans="1:35">
      <c r="L14" s="60" t="s">
        <v>7</v>
      </c>
      <c r="M14" s="67"/>
      <c r="N14" s="67"/>
      <c r="O14" s="60">
        <v>2</v>
      </c>
      <c r="P14" s="64" t="str">
        <f>IFERROR(MATCH(L14,Data!$D$2:$CA$2,0),"")</f>
        <v/>
      </c>
      <c r="T14" s="1" t="str">
        <f t="shared" ca="1" si="4"/>
        <v/>
      </c>
      <c r="U14" s="1">
        <f ca="1">COUNTIF(Data!$B$4:$B$100000,INDIRECT("Data!B"&amp;T14))</f>
        <v>0</v>
      </c>
      <c r="AA14" s="98" t="str">
        <f t="shared" ca="1" si="0"/>
        <v/>
      </c>
      <c r="AB14" s="100" t="e">
        <f t="shared" ca="1" si="5"/>
        <v>#N/A</v>
      </c>
      <c r="AC14" s="100" t="e">
        <f t="shared" ca="1" si="6"/>
        <v>#N/A</v>
      </c>
      <c r="AD14" s="57">
        <v>13</v>
      </c>
      <c r="AE14" s="57" t="s">
        <v>232</v>
      </c>
      <c r="AF14" s="1">
        <v>3</v>
      </c>
      <c r="AG14" s="1" t="str">
        <f t="shared" si="9"/>
        <v/>
      </c>
      <c r="AH14" s="1" t="str">
        <f t="shared" si="7"/>
        <v/>
      </c>
      <c r="AI14" s="1" t="str">
        <f t="shared" si="8"/>
        <v/>
      </c>
    </row>
    <row r="15" spans="1:35">
      <c r="L15" s="60" t="s">
        <v>8</v>
      </c>
      <c r="M15" s="68"/>
      <c r="N15" s="68"/>
      <c r="O15" s="62">
        <v>2</v>
      </c>
      <c r="P15" s="64" t="str">
        <f>IFERROR(MATCH(L15,Data!$D$2:$CA$2,0),"")</f>
        <v/>
      </c>
      <c r="T15" s="1" t="str">
        <f t="shared" ca="1" si="4"/>
        <v/>
      </c>
      <c r="U15" s="1">
        <f ca="1">COUNTIF(Data!$B$4:$B$100000,INDIRECT("Data!B"&amp;T15))</f>
        <v>0</v>
      </c>
      <c r="AA15" s="98" t="str">
        <f t="shared" ca="1" si="0"/>
        <v/>
      </c>
      <c r="AB15" s="100" t="e">
        <f t="shared" ca="1" si="5"/>
        <v>#N/A</v>
      </c>
      <c r="AC15" s="100" t="e">
        <f t="shared" ca="1" si="6"/>
        <v>#N/A</v>
      </c>
      <c r="AD15" s="57">
        <v>14</v>
      </c>
      <c r="AE15" s="57" t="s">
        <v>233</v>
      </c>
      <c r="AF15" s="1">
        <v>4</v>
      </c>
      <c r="AG15" s="1" t="str">
        <f t="shared" si="9"/>
        <v/>
      </c>
      <c r="AH15" s="1" t="str">
        <f t="shared" si="7"/>
        <v/>
      </c>
      <c r="AI15" s="1" t="str">
        <f t="shared" si="8"/>
        <v/>
      </c>
    </row>
    <row r="16" spans="1:35" ht="15">
      <c r="L16" s="155" t="s">
        <v>227</v>
      </c>
      <c r="M16" s="155"/>
      <c r="N16" s="155"/>
      <c r="O16" s="155"/>
      <c r="T16" s="1" t="str">
        <f t="shared" ca="1" si="4"/>
        <v/>
      </c>
      <c r="U16" s="1">
        <f ca="1">COUNTIF(Data!$B$4:$B$100000,INDIRECT("Data!B"&amp;T16))</f>
        <v>0</v>
      </c>
      <c r="AA16" s="98" t="str">
        <f t="shared" ca="1" si="0"/>
        <v/>
      </c>
      <c r="AB16" s="100" t="e">
        <f t="shared" ca="1" si="5"/>
        <v>#N/A</v>
      </c>
      <c r="AC16" s="100" t="e">
        <f t="shared" ca="1" si="6"/>
        <v>#N/A</v>
      </c>
      <c r="AD16" s="57">
        <v>15</v>
      </c>
      <c r="AE16" s="57" t="s">
        <v>234</v>
      </c>
      <c r="AF16" s="1">
        <v>5</v>
      </c>
      <c r="AG16" s="1" t="str">
        <f t="shared" si="9"/>
        <v/>
      </c>
      <c r="AH16" s="1" t="str">
        <f t="shared" si="7"/>
        <v/>
      </c>
      <c r="AI16" s="1" t="str">
        <f t="shared" si="8"/>
        <v/>
      </c>
    </row>
    <row r="17" spans="12:35">
      <c r="L17" s="58" t="s">
        <v>223</v>
      </c>
      <c r="M17" s="58" t="s">
        <v>224</v>
      </c>
      <c r="N17" s="58" t="s">
        <v>225</v>
      </c>
      <c r="O17" s="58" t="s">
        <v>226</v>
      </c>
      <c r="T17" s="1" t="str">
        <f t="shared" ca="1" si="4"/>
        <v/>
      </c>
      <c r="U17" s="1">
        <f ca="1">COUNTIF(Data!$B$4:$B$100000,INDIRECT("Data!B"&amp;T17))</f>
        <v>0</v>
      </c>
      <c r="AA17" s="98" t="str">
        <f t="shared" ca="1" si="0"/>
        <v/>
      </c>
      <c r="AB17" s="100" t="e">
        <f t="shared" ca="1" si="5"/>
        <v>#N/A</v>
      </c>
      <c r="AC17" s="100" t="e">
        <f t="shared" ca="1" si="6"/>
        <v>#N/A</v>
      </c>
      <c r="AD17" s="57">
        <v>16</v>
      </c>
      <c r="AE17" s="57" t="s">
        <v>235</v>
      </c>
      <c r="AF17" s="1">
        <v>6</v>
      </c>
      <c r="AG17" s="1" t="str">
        <f t="shared" si="9"/>
        <v/>
      </c>
      <c r="AH17" s="1" t="str">
        <f t="shared" si="7"/>
        <v/>
      </c>
      <c r="AI17" s="1" t="str">
        <f t="shared" si="8"/>
        <v/>
      </c>
    </row>
    <row r="18" spans="12:35">
      <c r="L18" s="60" t="s">
        <v>3</v>
      </c>
      <c r="M18" s="66">
        <v>37.451999999999998</v>
      </c>
      <c r="N18" s="66">
        <v>39.183</v>
      </c>
      <c r="O18" s="59">
        <v>1</v>
      </c>
      <c r="P18" s="64" t="str">
        <f>IFERROR(MATCH(L18,Data!$D$2:$CA$2,0),"")</f>
        <v/>
      </c>
      <c r="T18" s="1" t="str">
        <f t="shared" ca="1" si="4"/>
        <v/>
      </c>
      <c r="U18" s="1">
        <f ca="1">COUNTIF(Data!$B$4:$B$100000,INDIRECT("Data!B"&amp;T18))</f>
        <v>0</v>
      </c>
      <c r="AA18" s="98" t="str">
        <f t="shared" ca="1" si="0"/>
        <v/>
      </c>
      <c r="AB18" s="100" t="e">
        <f t="shared" ca="1" si="5"/>
        <v>#N/A</v>
      </c>
      <c r="AC18" s="100" t="e">
        <f t="shared" ca="1" si="6"/>
        <v>#N/A</v>
      </c>
      <c r="AD18" s="57">
        <v>17</v>
      </c>
      <c r="AE18" s="57" t="s">
        <v>236</v>
      </c>
      <c r="AF18" s="1">
        <v>7</v>
      </c>
      <c r="AG18" s="1" t="str">
        <f t="shared" si="9"/>
        <v/>
      </c>
      <c r="AH18" s="1" t="str">
        <f t="shared" si="7"/>
        <v/>
      </c>
      <c r="AI18" s="1" t="str">
        <f t="shared" si="8"/>
        <v/>
      </c>
    </row>
    <row r="19" spans="12:35">
      <c r="L19" s="60" t="s">
        <v>276</v>
      </c>
      <c r="M19" s="61">
        <v>8.8849999999999998</v>
      </c>
      <c r="N19" s="67">
        <v>9.0030000000000001</v>
      </c>
      <c r="O19" s="60">
        <v>1</v>
      </c>
      <c r="P19" s="64" t="str">
        <f>IFERROR(MATCH(L19,Data!$D$2:$CA$2,0),"")</f>
        <v/>
      </c>
      <c r="T19" s="1" t="str">
        <f t="shared" ca="1" si="4"/>
        <v/>
      </c>
      <c r="U19" s="1">
        <f ca="1">COUNTIF(Data!$B$4:$B$100000,INDIRECT("Data!B"&amp;T19))</f>
        <v>0</v>
      </c>
      <c r="AA19" s="98" t="str">
        <f t="shared" ca="1" si="0"/>
        <v/>
      </c>
      <c r="AB19" s="100" t="e">
        <f t="shared" ca="1" si="5"/>
        <v>#N/A</v>
      </c>
      <c r="AC19" s="100" t="e">
        <f t="shared" ca="1" si="6"/>
        <v>#N/A</v>
      </c>
      <c r="AD19" s="57">
        <v>18</v>
      </c>
      <c r="AE19" s="57" t="s">
        <v>237</v>
      </c>
      <c r="AF19" s="1">
        <v>8</v>
      </c>
      <c r="AG19" s="1" t="str">
        <f t="shared" si="9"/>
        <v/>
      </c>
      <c r="AH19" s="1" t="str">
        <f t="shared" si="7"/>
        <v/>
      </c>
      <c r="AI19" s="1" t="str">
        <f t="shared" si="8"/>
        <v/>
      </c>
    </row>
    <row r="20" spans="12:35">
      <c r="L20" s="60" t="s">
        <v>278</v>
      </c>
      <c r="M20" s="67">
        <v>8.891</v>
      </c>
      <c r="N20" s="67">
        <v>9.0020000000000007</v>
      </c>
      <c r="O20" s="60">
        <v>1</v>
      </c>
      <c r="P20" s="64" t="str">
        <f>IFERROR(MATCH(L20,Data!$D$2:$CA$2,0),"")</f>
        <v/>
      </c>
      <c r="AA20" s="98" t="str">
        <f t="shared" ca="1" si="0"/>
        <v/>
      </c>
      <c r="AB20" s="100" t="e">
        <f t="shared" ca="1" si="5"/>
        <v>#N/A</v>
      </c>
      <c r="AC20" s="100" t="e">
        <f t="shared" ca="1" si="6"/>
        <v>#N/A</v>
      </c>
      <c r="AD20" s="57">
        <v>19</v>
      </c>
      <c r="AE20" s="57" t="s">
        <v>238</v>
      </c>
    </row>
    <row r="21" spans="12:35">
      <c r="L21" s="60" t="s">
        <v>331</v>
      </c>
      <c r="M21" s="61">
        <v>14.29</v>
      </c>
      <c r="N21" s="110">
        <v>15.45</v>
      </c>
      <c r="O21" s="60">
        <v>1</v>
      </c>
      <c r="P21" s="64" t="str">
        <f>IFERROR(MATCH(L21,Data!$D$2:$CA$2,0),"")</f>
        <v/>
      </c>
      <c r="AA21" s="98" t="str">
        <f t="shared" ca="1" si="0"/>
        <v/>
      </c>
      <c r="AB21" s="100" t="e">
        <f t="shared" ca="1" si="5"/>
        <v>#N/A</v>
      </c>
      <c r="AC21" s="100" t="e">
        <f t="shared" ca="1" si="6"/>
        <v>#N/A</v>
      </c>
      <c r="AD21" s="57">
        <v>20</v>
      </c>
      <c r="AE21" s="57" t="s">
        <v>239</v>
      </c>
      <c r="AF21" s="156" t="s">
        <v>265</v>
      </c>
      <c r="AG21" s="156"/>
      <c r="AH21" s="156"/>
      <c r="AI21" s="156"/>
    </row>
    <row r="22" spans="12:35">
      <c r="L22" s="60" t="s">
        <v>277</v>
      </c>
      <c r="M22" s="61">
        <v>7.84</v>
      </c>
      <c r="N22" s="110">
        <v>13.53</v>
      </c>
      <c r="O22" s="60">
        <v>1</v>
      </c>
      <c r="P22" s="64" t="str">
        <f>IFERROR(MATCH(L22,Data!$D$2:$CA$2,0),"")</f>
        <v/>
      </c>
      <c r="AA22" s="98" t="str">
        <f t="shared" ca="1" si="0"/>
        <v/>
      </c>
      <c r="AB22" s="100" t="e">
        <f t="shared" ca="1" si="5"/>
        <v>#N/A</v>
      </c>
      <c r="AC22" s="100" t="e">
        <f t="shared" ca="1" si="6"/>
        <v>#N/A</v>
      </c>
      <c r="AD22" s="57">
        <v>21</v>
      </c>
      <c r="AE22" s="57" t="s">
        <v>240</v>
      </c>
      <c r="AF22" s="1">
        <v>1</v>
      </c>
      <c r="AG22" s="1" t="str">
        <f>IFERROR(VLOOKUP(P28+3,$AD$2:$AE$66,2,0),"")</f>
        <v>R</v>
      </c>
      <c r="AH22" s="1" t="e">
        <f t="shared" ref="AH22:AH29" ca="1" si="10">IF(AG22="","","Data!" &amp; AG22 &amp; $Z$6 &amp; ":" &amp; AG22 &amp; $Z$7)</f>
        <v>#N/A</v>
      </c>
      <c r="AI22" s="1" t="str">
        <f t="shared" ref="AI22:AI29" si="11">IF(AG22="","","Data!"&amp; AG22 &amp; "2:" &amp; AG22 &amp; "3")</f>
        <v>Data!R2:R3</v>
      </c>
    </row>
    <row r="23" spans="12:35">
      <c r="L23" s="60" t="s">
        <v>279</v>
      </c>
      <c r="M23" s="61">
        <v>4.37</v>
      </c>
      <c r="N23" s="110">
        <v>11.07</v>
      </c>
      <c r="O23" s="60">
        <v>1</v>
      </c>
      <c r="P23" s="64" t="str">
        <f>IFERROR(MATCH(L23,Data!$D$2:$CA$2,0),"")</f>
        <v/>
      </c>
      <c r="AA23" s="98" t="str">
        <f t="shared" ca="1" si="0"/>
        <v/>
      </c>
      <c r="AB23" s="100" t="e">
        <f t="shared" ca="1" si="5"/>
        <v>#N/A</v>
      </c>
      <c r="AC23" s="100" t="e">
        <f t="shared" ca="1" si="6"/>
        <v>#N/A</v>
      </c>
      <c r="AD23" s="57">
        <v>22</v>
      </c>
      <c r="AE23" s="57" t="s">
        <v>241</v>
      </c>
      <c r="AF23" s="1">
        <v>2</v>
      </c>
      <c r="AG23" s="1" t="str">
        <f t="shared" ref="AG23:AG29" si="12">IFERROR(VLOOKUP(P29+3,$AD$2:$AE$66,2,0),"")</f>
        <v>S</v>
      </c>
      <c r="AH23" s="1" t="e">
        <f t="shared" ca="1" si="10"/>
        <v>#N/A</v>
      </c>
      <c r="AI23" s="1" t="str">
        <f t="shared" si="11"/>
        <v>Data!S2:S3</v>
      </c>
    </row>
    <row r="24" spans="12:35">
      <c r="L24" s="60" t="s">
        <v>332</v>
      </c>
      <c r="M24" s="61">
        <v>43.64</v>
      </c>
      <c r="N24" s="110">
        <v>58.59</v>
      </c>
      <c r="O24" s="60">
        <v>1</v>
      </c>
      <c r="P24" s="64" t="str">
        <f>IFERROR(MATCH(L24,Data!$D$2:$CA$2,0),"")</f>
        <v/>
      </c>
      <c r="AA24" s="98" t="str">
        <f t="shared" ca="1" si="0"/>
        <v/>
      </c>
      <c r="AB24" s="100" t="e">
        <f t="shared" ca="1" si="5"/>
        <v>#N/A</v>
      </c>
      <c r="AC24" s="100" t="e">
        <f t="shared" ca="1" si="6"/>
        <v>#N/A</v>
      </c>
      <c r="AD24" s="57">
        <v>23</v>
      </c>
      <c r="AE24" s="57" t="s">
        <v>11</v>
      </c>
      <c r="AF24" s="1">
        <v>3</v>
      </c>
      <c r="AG24" s="1" t="str">
        <f t="shared" si="12"/>
        <v/>
      </c>
      <c r="AH24" s="1" t="str">
        <f t="shared" si="10"/>
        <v/>
      </c>
      <c r="AI24" s="1" t="str">
        <f t="shared" si="11"/>
        <v/>
      </c>
    </row>
    <row r="25" spans="12:35">
      <c r="L25" s="60" t="s">
        <v>280</v>
      </c>
      <c r="M25" s="63">
        <v>25.47</v>
      </c>
      <c r="N25" s="111">
        <v>57.4</v>
      </c>
      <c r="O25" s="62">
        <v>1</v>
      </c>
      <c r="P25" s="64" t="str">
        <f>IFERROR(MATCH(L25,Data!$D$2:$CA$2,0),"")</f>
        <v/>
      </c>
      <c r="AA25" s="98" t="str">
        <f t="shared" ca="1" si="0"/>
        <v/>
      </c>
      <c r="AB25" s="100" t="e">
        <f t="shared" ca="1" si="5"/>
        <v>#N/A</v>
      </c>
      <c r="AC25" s="100" t="e">
        <f t="shared" ca="1" si="6"/>
        <v>#N/A</v>
      </c>
      <c r="AD25" s="57">
        <v>24</v>
      </c>
      <c r="AE25" s="57" t="s">
        <v>242</v>
      </c>
      <c r="AF25" s="1">
        <v>4</v>
      </c>
      <c r="AG25" s="1" t="str">
        <f t="shared" si="12"/>
        <v>X</v>
      </c>
      <c r="AH25" s="1" t="e">
        <f t="shared" ca="1" si="10"/>
        <v>#N/A</v>
      </c>
      <c r="AI25" s="1" t="str">
        <f t="shared" si="11"/>
        <v>Data!X2:X3</v>
      </c>
    </row>
    <row r="26" spans="12:35" ht="15">
      <c r="L26" s="155" t="s">
        <v>264</v>
      </c>
      <c r="M26" s="155"/>
      <c r="N26" s="155"/>
      <c r="O26" s="155"/>
      <c r="AA26" s="98" t="str">
        <f t="shared" ca="1" si="0"/>
        <v/>
      </c>
      <c r="AB26" s="100" t="e">
        <f t="shared" ca="1" si="5"/>
        <v>#N/A</v>
      </c>
      <c r="AC26" s="100" t="e">
        <f t="shared" ca="1" si="6"/>
        <v>#N/A</v>
      </c>
      <c r="AD26" s="57">
        <v>25</v>
      </c>
      <c r="AE26" s="57" t="s">
        <v>243</v>
      </c>
      <c r="AF26" s="1">
        <v>5</v>
      </c>
      <c r="AG26" s="1" t="str">
        <f t="shared" si="12"/>
        <v>AA</v>
      </c>
      <c r="AH26" s="1" t="e">
        <f t="shared" ca="1" si="10"/>
        <v>#N/A</v>
      </c>
      <c r="AI26" s="1" t="str">
        <f t="shared" si="11"/>
        <v>Data!AA2:AA3</v>
      </c>
    </row>
    <row r="27" spans="12:35">
      <c r="L27" s="58" t="s">
        <v>223</v>
      </c>
      <c r="M27" s="58" t="s">
        <v>224</v>
      </c>
      <c r="N27" s="58" t="s">
        <v>225</v>
      </c>
      <c r="O27" s="58" t="s">
        <v>226</v>
      </c>
      <c r="AA27" s="98" t="str">
        <f t="shared" ca="1" si="0"/>
        <v/>
      </c>
      <c r="AB27" s="100" t="e">
        <f t="shared" ca="1" si="5"/>
        <v>#N/A</v>
      </c>
      <c r="AC27" s="100" t="e">
        <f t="shared" ca="1" si="6"/>
        <v>#N/A</v>
      </c>
      <c r="AD27" s="57">
        <v>26</v>
      </c>
      <c r="AE27" s="57" t="s">
        <v>244</v>
      </c>
      <c r="AF27" s="1">
        <v>6</v>
      </c>
      <c r="AG27" s="1" t="str">
        <f t="shared" si="12"/>
        <v>AB</v>
      </c>
      <c r="AH27" s="1" t="e">
        <f t="shared" ca="1" si="10"/>
        <v>#N/A</v>
      </c>
      <c r="AI27" s="1" t="str">
        <f t="shared" si="11"/>
        <v>Data!AB2:AB3</v>
      </c>
    </row>
    <row r="28" spans="12:35">
      <c r="L28" s="60" t="s">
        <v>213</v>
      </c>
      <c r="M28" s="66">
        <v>0</v>
      </c>
      <c r="N28" s="66">
        <v>0</v>
      </c>
      <c r="O28" s="59">
        <v>1</v>
      </c>
      <c r="P28" s="64">
        <f>IFERROR(MATCH(L28,Data!$D$2:$CA$2,0),"")</f>
        <v>15</v>
      </c>
      <c r="AA28" s="98" t="str">
        <f t="shared" ca="1" si="0"/>
        <v/>
      </c>
      <c r="AB28" s="100" t="e">
        <f t="shared" ca="1" si="5"/>
        <v>#N/A</v>
      </c>
      <c r="AC28" s="100" t="e">
        <f t="shared" ca="1" si="6"/>
        <v>#N/A</v>
      </c>
      <c r="AD28" s="57">
        <v>27</v>
      </c>
      <c r="AE28" s="57" t="str">
        <f t="shared" ref="AE28:AE53" si="13">"A"&amp;AE2</f>
        <v>AA</v>
      </c>
      <c r="AF28" s="1">
        <v>7</v>
      </c>
      <c r="AG28" s="1" t="str">
        <f t="shared" si="12"/>
        <v>AC</v>
      </c>
      <c r="AH28" s="1" t="e">
        <f t="shared" ca="1" si="10"/>
        <v>#N/A</v>
      </c>
      <c r="AI28" s="1" t="str">
        <f t="shared" si="11"/>
        <v>Data!AC2:AC3</v>
      </c>
    </row>
    <row r="29" spans="12:35">
      <c r="L29" s="60" t="s">
        <v>214</v>
      </c>
      <c r="M29" s="67">
        <v>5.4421374777570133</v>
      </c>
      <c r="N29" s="67">
        <v>18.998214000476658</v>
      </c>
      <c r="O29" s="60">
        <v>1</v>
      </c>
      <c r="P29" s="64">
        <f>IFERROR(MATCH(L29,Data!$D$2:$CA$2,0),"")</f>
        <v>16</v>
      </c>
      <c r="AA29" s="98" t="str">
        <f t="shared" ca="1" si="0"/>
        <v/>
      </c>
      <c r="AB29" s="100" t="e">
        <f t="shared" ca="1" si="5"/>
        <v>#N/A</v>
      </c>
      <c r="AC29" s="100" t="e">
        <f t="shared" ca="1" si="6"/>
        <v>#N/A</v>
      </c>
      <c r="AD29" s="57">
        <v>28</v>
      </c>
      <c r="AE29" s="57" t="str">
        <f t="shared" si="13"/>
        <v>AB</v>
      </c>
      <c r="AF29" s="1">
        <v>8</v>
      </c>
      <c r="AG29" s="1" t="str">
        <f t="shared" si="12"/>
        <v>AD</v>
      </c>
      <c r="AH29" s="1" t="e">
        <f t="shared" ca="1" si="10"/>
        <v>#N/A</v>
      </c>
      <c r="AI29" s="1" t="str">
        <f t="shared" si="11"/>
        <v>Data!AD2:AD3</v>
      </c>
    </row>
    <row r="30" spans="12:35">
      <c r="L30" s="60" t="s">
        <v>328</v>
      </c>
      <c r="M30" s="67">
        <v>-0.47863766666667495</v>
      </c>
      <c r="N30" s="67">
        <v>4.1108555555547377E-2</v>
      </c>
      <c r="O30" s="60">
        <v>1</v>
      </c>
      <c r="P30" s="64" t="str">
        <f>IFERROR(MATCH(L30,Data!$D$2:$CA$2,0),"")</f>
        <v/>
      </c>
      <c r="AA30" s="98" t="str">
        <f t="shared" ca="1" si="0"/>
        <v/>
      </c>
      <c r="AB30" s="100" t="e">
        <f t="shared" ca="1" si="5"/>
        <v>#N/A</v>
      </c>
      <c r="AC30" s="100" t="e">
        <f t="shared" ca="1" si="6"/>
        <v>#N/A</v>
      </c>
      <c r="AD30" s="57">
        <v>29</v>
      </c>
      <c r="AE30" s="57" t="str">
        <f t="shared" si="13"/>
        <v>AC</v>
      </c>
    </row>
    <row r="31" spans="12:35">
      <c r="L31" s="60" t="s">
        <v>16</v>
      </c>
      <c r="M31" s="67">
        <v>3.1426513055555598</v>
      </c>
      <c r="N31" s="67">
        <v>24.87533166666665</v>
      </c>
      <c r="O31" s="60">
        <v>1</v>
      </c>
      <c r="P31" s="64">
        <f>IFERROR(MATCH(L31,Data!$D$2:$CA$2,0),"")</f>
        <v>21</v>
      </c>
      <c r="AA31" s="98" t="str">
        <f t="shared" ca="1" si="0"/>
        <v/>
      </c>
      <c r="AB31" s="100" t="e">
        <f t="shared" ca="1" si="5"/>
        <v>#N/A</v>
      </c>
      <c r="AC31" s="100" t="e">
        <f t="shared" ca="1" si="6"/>
        <v>#N/A</v>
      </c>
      <c r="AD31" s="57">
        <v>30</v>
      </c>
      <c r="AE31" s="57" t="str">
        <f t="shared" si="13"/>
        <v>AD</v>
      </c>
    </row>
    <row r="32" spans="12:35">
      <c r="L32" s="60" t="s">
        <v>281</v>
      </c>
      <c r="M32" s="67"/>
      <c r="N32" s="67">
        <v>0.95833333333333337</v>
      </c>
      <c r="O32" s="60">
        <v>2</v>
      </c>
      <c r="P32" s="64">
        <f>IFERROR(MATCH(L32,Data!$D$2:$CA$2,0),"")</f>
        <v>24</v>
      </c>
      <c r="AA32" s="98" t="str">
        <f t="shared" ca="1" si="0"/>
        <v/>
      </c>
      <c r="AB32" s="100" t="e">
        <f t="shared" ca="1" si="5"/>
        <v>#N/A</v>
      </c>
      <c r="AC32" s="100" t="e">
        <f t="shared" ca="1" si="6"/>
        <v>#N/A</v>
      </c>
      <c r="AD32" s="57">
        <v>31</v>
      </c>
      <c r="AE32" s="57" t="str">
        <f t="shared" si="13"/>
        <v>AE</v>
      </c>
    </row>
    <row r="33" spans="12:31">
      <c r="L33" s="60" t="s">
        <v>17</v>
      </c>
      <c r="M33" s="67"/>
      <c r="N33" s="67">
        <v>0.95833333333333337</v>
      </c>
      <c r="O33" s="60">
        <v>1</v>
      </c>
      <c r="P33" s="64">
        <f>IFERROR(MATCH(L33,Data!$D$2:$CA$2,0),"")</f>
        <v>25</v>
      </c>
      <c r="AA33" s="98" t="str">
        <f t="shared" ca="1" si="0"/>
        <v/>
      </c>
      <c r="AB33" s="100" t="e">
        <f t="shared" ca="1" si="5"/>
        <v>#N/A</v>
      </c>
      <c r="AC33" s="100" t="e">
        <f t="shared" ca="1" si="6"/>
        <v>#N/A</v>
      </c>
      <c r="AD33" s="57">
        <v>32</v>
      </c>
      <c r="AE33" s="57" t="str">
        <f t="shared" si="13"/>
        <v>AF</v>
      </c>
    </row>
    <row r="34" spans="12:31">
      <c r="L34" s="60" t="s">
        <v>282</v>
      </c>
      <c r="M34" s="67"/>
      <c r="N34" s="67">
        <v>0.95833333333333337</v>
      </c>
      <c r="O34" s="60">
        <v>2</v>
      </c>
      <c r="P34" s="64">
        <f>IFERROR(MATCH(L34,Data!$D$2:$CA$2,0),"")</f>
        <v>26</v>
      </c>
      <c r="AA34" s="98" t="str">
        <f t="shared" ca="1" si="0"/>
        <v/>
      </c>
      <c r="AB34" s="100" t="e">
        <f t="shared" ca="1" si="5"/>
        <v>#N/A</v>
      </c>
      <c r="AC34" s="100" t="e">
        <f t="shared" ca="1" si="6"/>
        <v>#N/A</v>
      </c>
      <c r="AD34" s="57">
        <v>33</v>
      </c>
      <c r="AE34" s="57" t="str">
        <f t="shared" si="13"/>
        <v>AG</v>
      </c>
    </row>
    <row r="35" spans="12:31">
      <c r="L35" s="62" t="s">
        <v>283</v>
      </c>
      <c r="M35" s="68"/>
      <c r="N35" s="68">
        <v>0.95833333333333337</v>
      </c>
      <c r="O35" s="62">
        <v>2</v>
      </c>
      <c r="P35" s="64">
        <f>IFERROR(MATCH(L35,Data!$D$2:$CA$2,0),"")</f>
        <v>27</v>
      </c>
      <c r="AA35" s="98" t="str">
        <f t="shared" ca="1" si="0"/>
        <v/>
      </c>
      <c r="AB35" s="100" t="e">
        <f t="shared" ca="1" si="5"/>
        <v>#N/A</v>
      </c>
      <c r="AC35" s="100" t="e">
        <f t="shared" ca="1" si="6"/>
        <v>#N/A</v>
      </c>
      <c r="AD35" s="57">
        <v>34</v>
      </c>
      <c r="AE35" s="57" t="str">
        <f t="shared" si="13"/>
        <v>AH</v>
      </c>
    </row>
    <row r="36" spans="12:31">
      <c r="AA36" s="98" t="str">
        <f t="shared" ca="1" si="0"/>
        <v/>
      </c>
      <c r="AB36" s="100" t="e">
        <f t="shared" ca="1" si="5"/>
        <v>#N/A</v>
      </c>
      <c r="AC36" s="100" t="e">
        <f t="shared" ca="1" si="6"/>
        <v>#N/A</v>
      </c>
      <c r="AD36" s="57">
        <v>35</v>
      </c>
      <c r="AE36" s="57" t="str">
        <f t="shared" si="13"/>
        <v>AI</v>
      </c>
    </row>
    <row r="37" spans="12:31">
      <c r="AA37" s="98" t="str">
        <f t="shared" ca="1" si="0"/>
        <v/>
      </c>
      <c r="AB37" s="100" t="e">
        <f t="shared" ca="1" si="5"/>
        <v>#N/A</v>
      </c>
      <c r="AC37" s="100" t="e">
        <f t="shared" ca="1" si="6"/>
        <v>#N/A</v>
      </c>
      <c r="AD37" s="57">
        <v>36</v>
      </c>
      <c r="AE37" s="57" t="str">
        <f t="shared" si="13"/>
        <v>AJ</v>
      </c>
    </row>
    <row r="38" spans="12:31">
      <c r="AA38" s="98" t="str">
        <f t="shared" ca="1" si="0"/>
        <v/>
      </c>
      <c r="AB38" s="100" t="e">
        <f t="shared" ca="1" si="5"/>
        <v>#N/A</v>
      </c>
      <c r="AC38" s="100" t="e">
        <f t="shared" ca="1" si="6"/>
        <v>#N/A</v>
      </c>
      <c r="AD38" s="57">
        <v>37</v>
      </c>
      <c r="AE38" s="57" t="str">
        <f t="shared" si="13"/>
        <v>AK</v>
      </c>
    </row>
    <row r="39" spans="12:31">
      <c r="AA39" s="98" t="str">
        <f t="shared" ca="1" si="0"/>
        <v/>
      </c>
      <c r="AB39" s="100" t="e">
        <f t="shared" ca="1" si="5"/>
        <v>#N/A</v>
      </c>
      <c r="AC39" s="100" t="e">
        <f t="shared" ca="1" si="6"/>
        <v>#N/A</v>
      </c>
      <c r="AD39" s="57">
        <v>38</v>
      </c>
      <c r="AE39" s="57" t="str">
        <f t="shared" si="13"/>
        <v>AL</v>
      </c>
    </row>
    <row r="40" spans="12:31">
      <c r="AB40" s="100" t="e">
        <f t="shared" ca="1" si="5"/>
        <v>#N/A</v>
      </c>
      <c r="AC40" s="100" t="e">
        <f t="shared" ca="1" si="6"/>
        <v>#N/A</v>
      </c>
      <c r="AD40" s="57">
        <v>39</v>
      </c>
      <c r="AE40" s="57" t="str">
        <f t="shared" si="13"/>
        <v>AM</v>
      </c>
    </row>
    <row r="41" spans="12:31">
      <c r="AB41" s="100" t="e">
        <f t="shared" ca="1" si="5"/>
        <v>#N/A</v>
      </c>
      <c r="AC41" s="100" t="e">
        <f t="shared" ca="1" si="6"/>
        <v>#N/A</v>
      </c>
      <c r="AD41" s="57">
        <v>40</v>
      </c>
      <c r="AE41" s="57" t="str">
        <f t="shared" si="13"/>
        <v>AN</v>
      </c>
    </row>
    <row r="42" spans="12:31">
      <c r="AB42" s="100" t="e">
        <f t="shared" ca="1" si="5"/>
        <v>#N/A</v>
      </c>
      <c r="AC42" s="100" t="e">
        <f t="shared" ca="1" si="6"/>
        <v>#N/A</v>
      </c>
      <c r="AD42" s="57">
        <v>41</v>
      </c>
      <c r="AE42" s="57" t="str">
        <f t="shared" si="13"/>
        <v>AO</v>
      </c>
    </row>
    <row r="43" spans="12:31">
      <c r="AB43" s="100" t="e">
        <f t="shared" ca="1" si="5"/>
        <v>#N/A</v>
      </c>
      <c r="AC43" s="100" t="e">
        <f t="shared" ca="1" si="6"/>
        <v>#N/A</v>
      </c>
      <c r="AD43" s="57">
        <v>42</v>
      </c>
      <c r="AE43" s="57" t="str">
        <f t="shared" si="13"/>
        <v>AP</v>
      </c>
    </row>
    <row r="44" spans="12:31">
      <c r="AB44" s="100" t="e">
        <f t="shared" ca="1" si="5"/>
        <v>#N/A</v>
      </c>
      <c r="AC44" s="100" t="e">
        <f t="shared" ca="1" si="6"/>
        <v>#N/A</v>
      </c>
      <c r="AD44" s="57">
        <v>43</v>
      </c>
      <c r="AE44" s="57" t="str">
        <f t="shared" si="13"/>
        <v>AQ</v>
      </c>
    </row>
    <row r="45" spans="12:31">
      <c r="AB45" s="100" t="e">
        <f t="shared" ca="1" si="5"/>
        <v>#N/A</v>
      </c>
      <c r="AC45" s="100" t="e">
        <f t="shared" ca="1" si="6"/>
        <v>#N/A</v>
      </c>
      <c r="AD45" s="57">
        <v>44</v>
      </c>
      <c r="AE45" s="57" t="str">
        <f t="shared" si="13"/>
        <v>AR</v>
      </c>
    </row>
    <row r="46" spans="12:31">
      <c r="AB46" s="100" t="e">
        <f t="shared" ca="1" si="5"/>
        <v>#N/A</v>
      </c>
      <c r="AC46" s="100" t="e">
        <f t="shared" ca="1" si="6"/>
        <v>#N/A</v>
      </c>
      <c r="AD46" s="57">
        <v>45</v>
      </c>
      <c r="AE46" s="57" t="str">
        <f t="shared" si="13"/>
        <v>AS</v>
      </c>
    </row>
    <row r="47" spans="12:31">
      <c r="AB47" s="100" t="e">
        <f t="shared" ca="1" si="5"/>
        <v>#N/A</v>
      </c>
      <c r="AC47" s="100" t="e">
        <f t="shared" ca="1" si="6"/>
        <v>#N/A</v>
      </c>
      <c r="AD47" s="57">
        <v>46</v>
      </c>
      <c r="AE47" s="57" t="str">
        <f t="shared" si="13"/>
        <v>AT</v>
      </c>
    </row>
    <row r="48" spans="12:31">
      <c r="AB48" s="100" t="e">
        <f t="shared" ca="1" si="5"/>
        <v>#N/A</v>
      </c>
      <c r="AC48" s="100" t="e">
        <f t="shared" ca="1" si="6"/>
        <v>#N/A</v>
      </c>
      <c r="AD48" s="57">
        <v>47</v>
      </c>
      <c r="AE48" s="57" t="str">
        <f t="shared" si="13"/>
        <v>AU</v>
      </c>
    </row>
    <row r="49" spans="28:31">
      <c r="AB49" s="100" t="e">
        <f t="shared" ca="1" si="5"/>
        <v>#N/A</v>
      </c>
      <c r="AC49" s="100" t="e">
        <f t="shared" ca="1" si="6"/>
        <v>#N/A</v>
      </c>
      <c r="AD49" s="57">
        <v>48</v>
      </c>
      <c r="AE49" s="57" t="str">
        <f t="shared" si="13"/>
        <v>AV</v>
      </c>
    </row>
    <row r="50" spans="28:31">
      <c r="AB50" s="100" t="e">
        <f t="shared" ca="1" si="5"/>
        <v>#N/A</v>
      </c>
      <c r="AC50" s="100" t="e">
        <f t="shared" ca="1" si="6"/>
        <v>#N/A</v>
      </c>
      <c r="AD50" s="57">
        <v>49</v>
      </c>
      <c r="AE50" s="57" t="str">
        <f t="shared" si="13"/>
        <v>AW</v>
      </c>
    </row>
    <row r="51" spans="28:31">
      <c r="AB51" s="100"/>
      <c r="AC51" s="100"/>
      <c r="AD51" s="57">
        <v>50</v>
      </c>
      <c r="AE51" s="57" t="str">
        <f t="shared" si="13"/>
        <v>AX</v>
      </c>
    </row>
    <row r="52" spans="28:31">
      <c r="AB52" s="100"/>
      <c r="AC52" s="100"/>
      <c r="AD52" s="57">
        <v>51</v>
      </c>
      <c r="AE52" s="57" t="str">
        <f t="shared" si="13"/>
        <v>AY</v>
      </c>
    </row>
    <row r="53" spans="28:31">
      <c r="AB53" s="100"/>
      <c r="AC53" s="100"/>
      <c r="AD53" s="57">
        <v>52</v>
      </c>
      <c r="AE53" s="57" t="str">
        <f t="shared" si="13"/>
        <v>AZ</v>
      </c>
    </row>
    <row r="54" spans="28:31">
      <c r="AB54" s="100"/>
      <c r="AC54" s="100"/>
      <c r="AD54" s="57">
        <v>53</v>
      </c>
      <c r="AE54" s="57" t="str">
        <f>"B"&amp;AE2</f>
        <v>BA</v>
      </c>
    </row>
    <row r="55" spans="28:31">
      <c r="AB55" s="100"/>
      <c r="AC55" s="100"/>
      <c r="AD55" s="57">
        <v>54</v>
      </c>
      <c r="AE55" s="57" t="str">
        <f>"B"&amp;AE3</f>
        <v>BB</v>
      </c>
    </row>
    <row r="56" spans="28:31">
      <c r="AB56" s="100"/>
      <c r="AC56" s="100"/>
      <c r="AD56" s="57">
        <v>55</v>
      </c>
      <c r="AE56" s="57" t="str">
        <f t="shared" ref="AE56:AE66" si="14">"B"&amp;AE4</f>
        <v>BC</v>
      </c>
    </row>
    <row r="57" spans="28:31">
      <c r="AB57" s="100"/>
      <c r="AC57" s="100"/>
      <c r="AD57" s="57">
        <v>56</v>
      </c>
      <c r="AE57" s="57" t="str">
        <f t="shared" si="14"/>
        <v>BD</v>
      </c>
    </row>
    <row r="58" spans="28:31">
      <c r="AB58" s="100"/>
      <c r="AC58" s="100"/>
      <c r="AD58" s="57">
        <v>57</v>
      </c>
      <c r="AE58" s="57" t="str">
        <f t="shared" si="14"/>
        <v>BE</v>
      </c>
    </row>
    <row r="59" spans="28:31">
      <c r="AB59" s="100"/>
      <c r="AC59" s="100"/>
      <c r="AD59" s="57">
        <v>58</v>
      </c>
      <c r="AE59" s="57" t="str">
        <f t="shared" si="14"/>
        <v>BF</v>
      </c>
    </row>
    <row r="60" spans="28:31">
      <c r="AB60" s="100"/>
      <c r="AC60" s="100"/>
      <c r="AD60" s="57">
        <v>59</v>
      </c>
      <c r="AE60" s="57" t="str">
        <f t="shared" si="14"/>
        <v>BG</v>
      </c>
    </row>
    <row r="61" spans="28:31">
      <c r="AB61" s="100"/>
      <c r="AC61" s="100"/>
      <c r="AD61" s="57">
        <v>60</v>
      </c>
      <c r="AE61" s="57" t="str">
        <f t="shared" si="14"/>
        <v>BH</v>
      </c>
    </row>
    <row r="62" spans="28:31">
      <c r="AB62" s="100"/>
      <c r="AC62" s="100"/>
      <c r="AD62" s="57">
        <v>61</v>
      </c>
      <c r="AE62" s="57" t="str">
        <f t="shared" si="14"/>
        <v>BI</v>
      </c>
    </row>
    <row r="63" spans="28:31">
      <c r="AB63" s="100"/>
      <c r="AC63" s="100"/>
      <c r="AD63" s="57">
        <v>62</v>
      </c>
      <c r="AE63" s="57" t="str">
        <f t="shared" si="14"/>
        <v>BJ</v>
      </c>
    </row>
    <row r="64" spans="28:31">
      <c r="AB64" s="100"/>
      <c r="AC64" s="100"/>
      <c r="AD64" s="57">
        <v>63</v>
      </c>
      <c r="AE64" s="57" t="str">
        <f t="shared" si="14"/>
        <v>BK</v>
      </c>
    </row>
    <row r="65" spans="28:31">
      <c r="AB65" s="100"/>
      <c r="AC65" s="100"/>
      <c r="AD65" s="57">
        <v>64</v>
      </c>
      <c r="AE65" s="57" t="str">
        <f t="shared" si="14"/>
        <v>BL</v>
      </c>
    </row>
    <row r="66" spans="28:31">
      <c r="AB66" s="100"/>
      <c r="AC66" s="100"/>
      <c r="AD66" s="57">
        <v>65</v>
      </c>
      <c r="AE66" s="57" t="str">
        <f t="shared" si="14"/>
        <v>BM</v>
      </c>
    </row>
    <row r="67" spans="28:31">
      <c r="AB67" s="100"/>
      <c r="AC67" s="100"/>
    </row>
    <row r="68" spans="28:31">
      <c r="AB68" s="100"/>
      <c r="AC68" s="100"/>
    </row>
    <row r="69" spans="28:31">
      <c r="AB69" s="100"/>
      <c r="AC69" s="100"/>
    </row>
    <row r="70" spans="28:31">
      <c r="AB70" s="100"/>
      <c r="AC70" s="100"/>
    </row>
    <row r="71" spans="28:31">
      <c r="AB71" s="100"/>
      <c r="AC71" s="100"/>
    </row>
    <row r="72" spans="28:31">
      <c r="AB72" s="100"/>
      <c r="AC72" s="100"/>
    </row>
    <row r="73" spans="28:31">
      <c r="AB73" s="100"/>
      <c r="AC73" s="100"/>
    </row>
    <row r="74" spans="28:31">
      <c r="AB74" s="100"/>
      <c r="AC74" s="100"/>
    </row>
    <row r="75" spans="28:31">
      <c r="AB75" s="100"/>
      <c r="AC75" s="100"/>
    </row>
    <row r="76" spans="28:31">
      <c r="AB76" s="100"/>
      <c r="AC76" s="100"/>
    </row>
    <row r="77" spans="28:31">
      <c r="AB77" s="100"/>
      <c r="AC77" s="100"/>
    </row>
    <row r="78" spans="28:31">
      <c r="AB78" s="100"/>
      <c r="AC78" s="100"/>
    </row>
    <row r="79" spans="28:31">
      <c r="AB79" s="100"/>
      <c r="AC79" s="100"/>
    </row>
    <row r="80" spans="28:31">
      <c r="AB80" s="100"/>
      <c r="AC80" s="100"/>
    </row>
    <row r="81" spans="28:29">
      <c r="AB81" s="100"/>
      <c r="AC81" s="100"/>
    </row>
    <row r="82" spans="28:29">
      <c r="AB82" s="100"/>
      <c r="AC82" s="100"/>
    </row>
    <row r="83" spans="28:29">
      <c r="AB83" s="100"/>
      <c r="AC83" s="100"/>
    </row>
    <row r="84" spans="28:29">
      <c r="AB84" s="100"/>
      <c r="AC84" s="100"/>
    </row>
    <row r="85" spans="28:29">
      <c r="AB85" s="100"/>
      <c r="AC85" s="100"/>
    </row>
    <row r="86" spans="28:29">
      <c r="AB86" s="100"/>
      <c r="AC86" s="100"/>
    </row>
    <row r="87" spans="28:29">
      <c r="AB87" s="100"/>
      <c r="AC87" s="100"/>
    </row>
    <row r="88" spans="28:29">
      <c r="AB88" s="100"/>
      <c r="AC88" s="100"/>
    </row>
    <row r="89" spans="28:29">
      <c r="AB89" s="100"/>
      <c r="AC89" s="100"/>
    </row>
    <row r="90" spans="28:29">
      <c r="AB90" s="100"/>
      <c r="AC90" s="100"/>
    </row>
    <row r="91" spans="28:29">
      <c r="AB91" s="100"/>
      <c r="AC91" s="100"/>
    </row>
    <row r="92" spans="28:29">
      <c r="AB92" s="100"/>
      <c r="AC92" s="100"/>
    </row>
    <row r="93" spans="28:29">
      <c r="AB93" s="100"/>
      <c r="AC93" s="100"/>
    </row>
    <row r="94" spans="28:29">
      <c r="AB94" s="100"/>
      <c r="AC94" s="100"/>
    </row>
    <row r="95" spans="28:29">
      <c r="AB95" s="100"/>
      <c r="AC95" s="100"/>
    </row>
    <row r="96" spans="28:29">
      <c r="AB96" s="100"/>
      <c r="AC96" s="100"/>
    </row>
    <row r="97" spans="28:29">
      <c r="AB97" s="100"/>
      <c r="AC97" s="100"/>
    </row>
    <row r="98" spans="28:29">
      <c r="AB98" s="100"/>
      <c r="AC98" s="100"/>
    </row>
    <row r="99" spans="28:29">
      <c r="AB99" s="100"/>
      <c r="AC99" s="100"/>
    </row>
    <row r="100" spans="28:29">
      <c r="AB100" s="100"/>
      <c r="AC100" s="100"/>
    </row>
    <row r="101" spans="28:29">
      <c r="AB101" s="100"/>
      <c r="AC101" s="100"/>
    </row>
    <row r="102" spans="28:29">
      <c r="AB102" s="100"/>
      <c r="AC102" s="100"/>
    </row>
    <row r="103" spans="28:29">
      <c r="AB103" s="100"/>
      <c r="AC103" s="100"/>
    </row>
    <row r="104" spans="28:29">
      <c r="AB104" s="100"/>
      <c r="AC104" s="100"/>
    </row>
    <row r="105" spans="28:29">
      <c r="AB105" s="100"/>
      <c r="AC105" s="100"/>
    </row>
    <row r="106" spans="28:29">
      <c r="AB106" s="100"/>
      <c r="AC106" s="100"/>
    </row>
    <row r="107" spans="28:29">
      <c r="AB107" s="100"/>
      <c r="AC107" s="100"/>
    </row>
    <row r="108" spans="28:29">
      <c r="AB108" s="100"/>
      <c r="AC108" s="100"/>
    </row>
    <row r="109" spans="28:29">
      <c r="AB109" s="100"/>
      <c r="AC109" s="100"/>
    </row>
    <row r="110" spans="28:29">
      <c r="AB110" s="100"/>
      <c r="AC110" s="100"/>
    </row>
    <row r="111" spans="28:29">
      <c r="AB111" s="100"/>
      <c r="AC111" s="100"/>
    </row>
    <row r="112" spans="28:29">
      <c r="AB112" s="100"/>
      <c r="AC112" s="100"/>
    </row>
    <row r="113" spans="28:29">
      <c r="AB113" s="100"/>
      <c r="AC113" s="100"/>
    </row>
    <row r="114" spans="28:29">
      <c r="AB114" s="100"/>
      <c r="AC114" s="100"/>
    </row>
    <row r="115" spans="28:29">
      <c r="AB115" s="100"/>
      <c r="AC115" s="100"/>
    </row>
    <row r="116" spans="28:29">
      <c r="AB116" s="100"/>
      <c r="AC116" s="100"/>
    </row>
    <row r="117" spans="28:29">
      <c r="AB117" s="100"/>
      <c r="AC117" s="100"/>
    </row>
    <row r="118" spans="28:29">
      <c r="AB118" s="100"/>
      <c r="AC118" s="100"/>
    </row>
    <row r="119" spans="28:29">
      <c r="AB119" s="100"/>
      <c r="AC119" s="100"/>
    </row>
    <row r="120" spans="28:29">
      <c r="AB120" s="100"/>
      <c r="AC120" s="100"/>
    </row>
    <row r="121" spans="28:29">
      <c r="AB121" s="100"/>
      <c r="AC121" s="100"/>
    </row>
    <row r="122" spans="28:29">
      <c r="AB122" s="100"/>
      <c r="AC122" s="100"/>
    </row>
    <row r="123" spans="28:29">
      <c r="AB123" s="100"/>
      <c r="AC123" s="100"/>
    </row>
    <row r="124" spans="28:29">
      <c r="AB124" s="100"/>
      <c r="AC124" s="100"/>
    </row>
    <row r="125" spans="28:29">
      <c r="AB125" s="100"/>
      <c r="AC125" s="100"/>
    </row>
    <row r="126" spans="28:29">
      <c r="AB126" s="100"/>
      <c r="AC126" s="100"/>
    </row>
    <row r="127" spans="28:29">
      <c r="AB127" s="100"/>
      <c r="AC127" s="100"/>
    </row>
    <row r="128" spans="28:29">
      <c r="AB128" s="100"/>
      <c r="AC128" s="100"/>
    </row>
    <row r="129" spans="28:29">
      <c r="AB129" s="100"/>
      <c r="AC129" s="100"/>
    </row>
    <row r="130" spans="28:29">
      <c r="AB130" s="100"/>
      <c r="AC130" s="100"/>
    </row>
    <row r="131" spans="28:29">
      <c r="AB131" s="100"/>
      <c r="AC131" s="100"/>
    </row>
    <row r="132" spans="28:29">
      <c r="AB132" s="100"/>
      <c r="AC132" s="100"/>
    </row>
    <row r="133" spans="28:29">
      <c r="AB133" s="100"/>
      <c r="AC133" s="100"/>
    </row>
    <row r="134" spans="28:29">
      <c r="AB134" s="100"/>
      <c r="AC134" s="100"/>
    </row>
    <row r="135" spans="28:29">
      <c r="AB135" s="100"/>
      <c r="AC135" s="100"/>
    </row>
    <row r="136" spans="28:29">
      <c r="AB136" s="100"/>
      <c r="AC136" s="100"/>
    </row>
    <row r="137" spans="28:29">
      <c r="AB137" s="100"/>
      <c r="AC137" s="100"/>
    </row>
    <row r="138" spans="28:29">
      <c r="AB138" s="100"/>
      <c r="AC138" s="100"/>
    </row>
    <row r="139" spans="28:29">
      <c r="AB139" s="100"/>
      <c r="AC139" s="100"/>
    </row>
    <row r="140" spans="28:29">
      <c r="AB140" s="100"/>
      <c r="AC140" s="100"/>
    </row>
    <row r="141" spans="28:29">
      <c r="AB141" s="100"/>
      <c r="AC141" s="100"/>
    </row>
    <row r="142" spans="28:29">
      <c r="AB142" s="100"/>
      <c r="AC142" s="100"/>
    </row>
    <row r="143" spans="28:29">
      <c r="AB143" s="100"/>
      <c r="AC143" s="100"/>
    </row>
    <row r="144" spans="28:29">
      <c r="AB144" s="100"/>
      <c r="AC144" s="100"/>
    </row>
    <row r="145" spans="28:29">
      <c r="AB145" s="100"/>
      <c r="AC145" s="100"/>
    </row>
    <row r="146" spans="28:29">
      <c r="AB146" s="100"/>
      <c r="AC146" s="100"/>
    </row>
    <row r="147" spans="28:29">
      <c r="AB147" s="100"/>
      <c r="AC147" s="100"/>
    </row>
    <row r="148" spans="28:29">
      <c r="AB148" s="100"/>
      <c r="AC148" s="100"/>
    </row>
    <row r="149" spans="28:29">
      <c r="AB149" s="100"/>
      <c r="AC149" s="100"/>
    </row>
    <row r="150" spans="28:29">
      <c r="AB150" s="100"/>
      <c r="AC150" s="100"/>
    </row>
    <row r="151" spans="28:29">
      <c r="AB151" s="100"/>
      <c r="AC151" s="100"/>
    </row>
    <row r="152" spans="28:29">
      <c r="AB152" s="100"/>
      <c r="AC152" s="100"/>
    </row>
    <row r="153" spans="28:29">
      <c r="AB153" s="100"/>
      <c r="AC153" s="100"/>
    </row>
    <row r="154" spans="28:29">
      <c r="AB154" s="100"/>
      <c r="AC154" s="100"/>
    </row>
    <row r="155" spans="28:29">
      <c r="AB155" s="100"/>
      <c r="AC155" s="100"/>
    </row>
    <row r="156" spans="28:29">
      <c r="AB156" s="100"/>
      <c r="AC156" s="100"/>
    </row>
    <row r="157" spans="28:29">
      <c r="AB157" s="100"/>
      <c r="AC157" s="100"/>
    </row>
    <row r="158" spans="28:29">
      <c r="AB158" s="100"/>
      <c r="AC158" s="100"/>
    </row>
    <row r="159" spans="28:29">
      <c r="AB159" s="100"/>
      <c r="AC159" s="100"/>
    </row>
    <row r="160" spans="28:29">
      <c r="AB160" s="100"/>
      <c r="AC160" s="100"/>
    </row>
    <row r="161" spans="28:29">
      <c r="AB161" s="100"/>
      <c r="AC161" s="100"/>
    </row>
    <row r="162" spans="28:29">
      <c r="AB162" s="100"/>
      <c r="AC162" s="100"/>
    </row>
    <row r="163" spans="28:29">
      <c r="AB163" s="100"/>
      <c r="AC163" s="100"/>
    </row>
    <row r="164" spans="28:29">
      <c r="AB164" s="100"/>
      <c r="AC164" s="100"/>
    </row>
    <row r="165" spans="28:29">
      <c r="AB165" s="100"/>
      <c r="AC165" s="100"/>
    </row>
    <row r="166" spans="28:29">
      <c r="AB166" s="100"/>
      <c r="AC166" s="100"/>
    </row>
    <row r="167" spans="28:29">
      <c r="AB167" s="100"/>
      <c r="AC167" s="100"/>
    </row>
    <row r="168" spans="28:29">
      <c r="AB168" s="100"/>
      <c r="AC168" s="100"/>
    </row>
    <row r="169" spans="28:29">
      <c r="AB169" s="100"/>
      <c r="AC169" s="100"/>
    </row>
    <row r="170" spans="28:29">
      <c r="AB170" s="100"/>
      <c r="AC170" s="100"/>
    </row>
    <row r="171" spans="28:29">
      <c r="AB171" s="100"/>
      <c r="AC171" s="100"/>
    </row>
    <row r="172" spans="28:29">
      <c r="AB172" s="100"/>
      <c r="AC172" s="100"/>
    </row>
    <row r="173" spans="28:29">
      <c r="AB173" s="100"/>
      <c r="AC173" s="100"/>
    </row>
    <row r="174" spans="28:29">
      <c r="AB174" s="100"/>
      <c r="AC174" s="100"/>
    </row>
    <row r="175" spans="28:29">
      <c r="AB175" s="100"/>
      <c r="AC175" s="100"/>
    </row>
    <row r="176" spans="28:29">
      <c r="AB176" s="100"/>
      <c r="AC176" s="100"/>
    </row>
    <row r="177" spans="28:29">
      <c r="AB177" s="100"/>
      <c r="AC177" s="100"/>
    </row>
    <row r="178" spans="28:29">
      <c r="AB178" s="100"/>
      <c r="AC178" s="100"/>
    </row>
    <row r="179" spans="28:29">
      <c r="AB179" s="100"/>
      <c r="AC179" s="100"/>
    </row>
    <row r="180" spans="28:29">
      <c r="AB180" s="100"/>
      <c r="AC180" s="100"/>
    </row>
    <row r="181" spans="28:29">
      <c r="AB181" s="100"/>
      <c r="AC181" s="100"/>
    </row>
    <row r="182" spans="28:29">
      <c r="AB182" s="100"/>
      <c r="AC182" s="100"/>
    </row>
    <row r="183" spans="28:29">
      <c r="AB183" s="100"/>
      <c r="AC183" s="100"/>
    </row>
    <row r="184" spans="28:29">
      <c r="AB184" s="100"/>
      <c r="AC184" s="100"/>
    </row>
    <row r="185" spans="28:29">
      <c r="AB185" s="100"/>
      <c r="AC185" s="100"/>
    </row>
    <row r="186" spans="28:29">
      <c r="AB186" s="100"/>
      <c r="AC186" s="100"/>
    </row>
    <row r="187" spans="28:29">
      <c r="AB187" s="100"/>
      <c r="AC187" s="100"/>
    </row>
    <row r="188" spans="28:29">
      <c r="AB188" s="100"/>
      <c r="AC188" s="100"/>
    </row>
    <row r="189" spans="28:29">
      <c r="AB189" s="100"/>
      <c r="AC189" s="100"/>
    </row>
    <row r="190" spans="28:29">
      <c r="AB190" s="100"/>
      <c r="AC190" s="100"/>
    </row>
    <row r="191" spans="28:29">
      <c r="AB191" s="100"/>
      <c r="AC191" s="100"/>
    </row>
    <row r="192" spans="28:29">
      <c r="AB192" s="100"/>
      <c r="AC192" s="100"/>
    </row>
    <row r="193" spans="28:29">
      <c r="AB193" s="100"/>
      <c r="AC193" s="100"/>
    </row>
    <row r="194" spans="28:29">
      <c r="AB194" s="100"/>
      <c r="AC194" s="100"/>
    </row>
    <row r="195" spans="28:29">
      <c r="AB195" s="100"/>
      <c r="AC195" s="100"/>
    </row>
    <row r="196" spans="28:29">
      <c r="AB196" s="100"/>
      <c r="AC196" s="100"/>
    </row>
    <row r="197" spans="28:29">
      <c r="AB197" s="100"/>
      <c r="AC197" s="100"/>
    </row>
    <row r="198" spans="28:29">
      <c r="AB198" s="100"/>
      <c r="AC198" s="100"/>
    </row>
    <row r="199" spans="28:29">
      <c r="AB199" s="100"/>
      <c r="AC199" s="100"/>
    </row>
    <row r="200" spans="28:29">
      <c r="AB200" s="100"/>
      <c r="AC200" s="100"/>
    </row>
    <row r="201" spans="28:29">
      <c r="AB201" s="100"/>
      <c r="AC201" s="100"/>
    </row>
    <row r="202" spans="28:29">
      <c r="AB202" s="100"/>
      <c r="AC202" s="100"/>
    </row>
    <row r="203" spans="28:29">
      <c r="AB203" s="100"/>
      <c r="AC203" s="100"/>
    </row>
    <row r="204" spans="28:29">
      <c r="AB204" s="100"/>
      <c r="AC204" s="100"/>
    </row>
    <row r="205" spans="28:29">
      <c r="AB205" s="100"/>
      <c r="AC205" s="100"/>
    </row>
    <row r="206" spans="28:29">
      <c r="AB206" s="100"/>
      <c r="AC206" s="100"/>
    </row>
    <row r="207" spans="28:29">
      <c r="AB207" s="100"/>
      <c r="AC207" s="100"/>
    </row>
    <row r="208" spans="28:29">
      <c r="AB208" s="100"/>
      <c r="AC208" s="100"/>
    </row>
    <row r="209" spans="28:29">
      <c r="AB209" s="100"/>
      <c r="AC209" s="100"/>
    </row>
    <row r="210" spans="28:29">
      <c r="AB210" s="100"/>
      <c r="AC210" s="100"/>
    </row>
    <row r="211" spans="28:29">
      <c r="AB211" s="100"/>
      <c r="AC211" s="100"/>
    </row>
    <row r="212" spans="28:29">
      <c r="AB212" s="100"/>
      <c r="AC212" s="100"/>
    </row>
    <row r="213" spans="28:29">
      <c r="AB213" s="100"/>
      <c r="AC213" s="100"/>
    </row>
    <row r="214" spans="28:29">
      <c r="AB214" s="100"/>
      <c r="AC214" s="100"/>
    </row>
    <row r="215" spans="28:29">
      <c r="AB215" s="100"/>
      <c r="AC215" s="100"/>
    </row>
    <row r="216" spans="28:29">
      <c r="AB216" s="100"/>
      <c r="AC216" s="100"/>
    </row>
    <row r="217" spans="28:29">
      <c r="AB217" s="100"/>
      <c r="AC217" s="100"/>
    </row>
    <row r="218" spans="28:29">
      <c r="AB218" s="100"/>
      <c r="AC218" s="100"/>
    </row>
    <row r="219" spans="28:29">
      <c r="AB219" s="100"/>
      <c r="AC219" s="100"/>
    </row>
    <row r="220" spans="28:29">
      <c r="AB220" s="100"/>
      <c r="AC220" s="100"/>
    </row>
    <row r="221" spans="28:29">
      <c r="AB221" s="100"/>
      <c r="AC221" s="100"/>
    </row>
    <row r="222" spans="28:29">
      <c r="AB222" s="100"/>
      <c r="AC222" s="100"/>
    </row>
    <row r="223" spans="28:29">
      <c r="AB223" s="100"/>
      <c r="AC223" s="100"/>
    </row>
    <row r="224" spans="28:29">
      <c r="AB224" s="100"/>
      <c r="AC224" s="100"/>
    </row>
    <row r="225" spans="28:29">
      <c r="AB225" s="100"/>
      <c r="AC225" s="100"/>
    </row>
    <row r="226" spans="28:29">
      <c r="AB226" s="100"/>
      <c r="AC226" s="100"/>
    </row>
    <row r="227" spans="28:29">
      <c r="AB227" s="100"/>
      <c r="AC227" s="100"/>
    </row>
    <row r="228" spans="28:29">
      <c r="AB228" s="100"/>
      <c r="AC228" s="100"/>
    </row>
    <row r="229" spans="28:29">
      <c r="AB229" s="100"/>
      <c r="AC229" s="100"/>
    </row>
    <row r="230" spans="28:29">
      <c r="AB230" s="100"/>
      <c r="AC230" s="100"/>
    </row>
    <row r="231" spans="28:29">
      <c r="AB231" s="100"/>
      <c r="AC231" s="100"/>
    </row>
    <row r="232" spans="28:29">
      <c r="AB232" s="100"/>
      <c r="AC232" s="100"/>
    </row>
    <row r="233" spans="28:29">
      <c r="AB233" s="100"/>
      <c r="AC233" s="100"/>
    </row>
    <row r="234" spans="28:29">
      <c r="AB234" s="100"/>
      <c r="AC234" s="100"/>
    </row>
    <row r="235" spans="28:29">
      <c r="AB235" s="100"/>
      <c r="AC235" s="100"/>
    </row>
    <row r="236" spans="28:29">
      <c r="AB236" s="100"/>
      <c r="AC236" s="100"/>
    </row>
    <row r="237" spans="28:29">
      <c r="AB237" s="100"/>
      <c r="AC237" s="100"/>
    </row>
    <row r="238" spans="28:29">
      <c r="AB238" s="100"/>
      <c r="AC238" s="100"/>
    </row>
    <row r="239" spans="28:29">
      <c r="AB239" s="100"/>
      <c r="AC239" s="100"/>
    </row>
    <row r="240" spans="28:29">
      <c r="AB240" s="100"/>
      <c r="AC240" s="100"/>
    </row>
    <row r="241" spans="28:29">
      <c r="AB241" s="100"/>
      <c r="AC241" s="100"/>
    </row>
    <row r="242" spans="28:29">
      <c r="AB242" s="100"/>
      <c r="AC242" s="100"/>
    </row>
    <row r="243" spans="28:29">
      <c r="AB243" s="100"/>
      <c r="AC243" s="100"/>
    </row>
    <row r="244" spans="28:29">
      <c r="AB244" s="100"/>
      <c r="AC244" s="100"/>
    </row>
    <row r="245" spans="28:29">
      <c r="AB245" s="100"/>
      <c r="AC245" s="100"/>
    </row>
    <row r="246" spans="28:29">
      <c r="AB246" s="100"/>
      <c r="AC246" s="100"/>
    </row>
    <row r="247" spans="28:29">
      <c r="AB247" s="100"/>
      <c r="AC247" s="100"/>
    </row>
    <row r="248" spans="28:29">
      <c r="AB248" s="100"/>
      <c r="AC248" s="100"/>
    </row>
    <row r="249" spans="28:29">
      <c r="AB249" s="100"/>
      <c r="AC249" s="100"/>
    </row>
    <row r="250" spans="28:29">
      <c r="AB250" s="100"/>
      <c r="AC250" s="100"/>
    </row>
    <row r="251" spans="28:29">
      <c r="AB251" s="100"/>
      <c r="AC251" s="100"/>
    </row>
    <row r="252" spans="28:29">
      <c r="AB252" s="100"/>
      <c r="AC252" s="100"/>
    </row>
    <row r="253" spans="28:29">
      <c r="AB253" s="100"/>
      <c r="AC253" s="100"/>
    </row>
    <row r="254" spans="28:29">
      <c r="AB254" s="100"/>
      <c r="AC254" s="100"/>
    </row>
    <row r="255" spans="28:29">
      <c r="AB255" s="100"/>
      <c r="AC255" s="100"/>
    </row>
    <row r="256" spans="28:29">
      <c r="AB256" s="100"/>
      <c r="AC256" s="100"/>
    </row>
    <row r="257" spans="28:29">
      <c r="AB257" s="100"/>
      <c r="AC257" s="100"/>
    </row>
    <row r="258" spans="28:29">
      <c r="AB258" s="100"/>
      <c r="AC258" s="100"/>
    </row>
    <row r="259" spans="28:29">
      <c r="AB259" s="100"/>
      <c r="AC259" s="100"/>
    </row>
    <row r="260" spans="28:29">
      <c r="AB260" s="100"/>
      <c r="AC260" s="100"/>
    </row>
    <row r="261" spans="28:29">
      <c r="AB261" s="100"/>
      <c r="AC261" s="100"/>
    </row>
    <row r="262" spans="28:29">
      <c r="AB262" s="100"/>
      <c r="AC262" s="100"/>
    </row>
    <row r="263" spans="28:29">
      <c r="AB263" s="100"/>
      <c r="AC263" s="100"/>
    </row>
    <row r="264" spans="28:29">
      <c r="AB264" s="100"/>
      <c r="AC264" s="100"/>
    </row>
    <row r="265" spans="28:29">
      <c r="AB265" s="100"/>
      <c r="AC265" s="100"/>
    </row>
    <row r="266" spans="28:29">
      <c r="AB266" s="100"/>
      <c r="AC266" s="100"/>
    </row>
    <row r="267" spans="28:29">
      <c r="AB267" s="100"/>
      <c r="AC267" s="100"/>
    </row>
    <row r="268" spans="28:29">
      <c r="AB268" s="100"/>
      <c r="AC268" s="100"/>
    </row>
    <row r="269" spans="28:29">
      <c r="AB269" s="100"/>
      <c r="AC269" s="100"/>
    </row>
    <row r="270" spans="28:29">
      <c r="AB270" s="100"/>
      <c r="AC270" s="100"/>
    </row>
    <row r="271" spans="28:29">
      <c r="AB271" s="100"/>
      <c r="AC271" s="100"/>
    </row>
    <row r="272" spans="28:29">
      <c r="AB272" s="100"/>
      <c r="AC272" s="100"/>
    </row>
    <row r="273" spans="28:29">
      <c r="AB273" s="100"/>
      <c r="AC273" s="100"/>
    </row>
    <row r="274" spans="28:29">
      <c r="AB274" s="100"/>
      <c r="AC274" s="100"/>
    </row>
    <row r="275" spans="28:29">
      <c r="AB275" s="100"/>
      <c r="AC275" s="100"/>
    </row>
    <row r="276" spans="28:29">
      <c r="AB276" s="100"/>
      <c r="AC276" s="100"/>
    </row>
    <row r="277" spans="28:29">
      <c r="AB277" s="100"/>
      <c r="AC277" s="100"/>
    </row>
    <row r="278" spans="28:29">
      <c r="AB278" s="100"/>
      <c r="AC278" s="100"/>
    </row>
    <row r="279" spans="28:29">
      <c r="AB279" s="100"/>
      <c r="AC279" s="100"/>
    </row>
    <row r="280" spans="28:29">
      <c r="AB280" s="100"/>
      <c r="AC280" s="100"/>
    </row>
    <row r="281" spans="28:29">
      <c r="AB281" s="100"/>
      <c r="AC281" s="100"/>
    </row>
    <row r="282" spans="28:29">
      <c r="AB282" s="100"/>
      <c r="AC282" s="100"/>
    </row>
    <row r="283" spans="28:29">
      <c r="AB283" s="100"/>
      <c r="AC283" s="100"/>
    </row>
    <row r="284" spans="28:29">
      <c r="AB284" s="100"/>
      <c r="AC284" s="100"/>
    </row>
    <row r="285" spans="28:29">
      <c r="AB285" s="100"/>
      <c r="AC285" s="100"/>
    </row>
    <row r="286" spans="28:29">
      <c r="AB286" s="100"/>
      <c r="AC286" s="100"/>
    </row>
    <row r="287" spans="28:29">
      <c r="AB287" s="100"/>
      <c r="AC287" s="100"/>
    </row>
    <row r="288" spans="28:29">
      <c r="AB288" s="100"/>
      <c r="AC288" s="100"/>
    </row>
    <row r="289" spans="28:29">
      <c r="AB289" s="100"/>
      <c r="AC289" s="100"/>
    </row>
    <row r="290" spans="28:29">
      <c r="AB290" s="100"/>
      <c r="AC290" s="100"/>
    </row>
    <row r="291" spans="28:29">
      <c r="AB291" s="100"/>
      <c r="AC291" s="100"/>
    </row>
    <row r="292" spans="28:29">
      <c r="AB292" s="100"/>
      <c r="AC292" s="100"/>
    </row>
    <row r="293" spans="28:29">
      <c r="AB293" s="100"/>
      <c r="AC293" s="100"/>
    </row>
    <row r="294" spans="28:29">
      <c r="AB294" s="100"/>
      <c r="AC294" s="100"/>
    </row>
    <row r="295" spans="28:29">
      <c r="AB295" s="100"/>
      <c r="AC295" s="100"/>
    </row>
    <row r="296" spans="28:29">
      <c r="AB296" s="100"/>
      <c r="AC296" s="100"/>
    </row>
    <row r="297" spans="28:29">
      <c r="AB297" s="100"/>
      <c r="AC297" s="100"/>
    </row>
    <row r="298" spans="28:29">
      <c r="AB298" s="100"/>
      <c r="AC298" s="100"/>
    </row>
    <row r="299" spans="28:29">
      <c r="AB299" s="100"/>
      <c r="AC299" s="100"/>
    </row>
    <row r="300" spans="28:29">
      <c r="AB300" s="100"/>
      <c r="AC300" s="100"/>
    </row>
    <row r="301" spans="28:29">
      <c r="AB301" s="100"/>
      <c r="AC301" s="100"/>
    </row>
    <row r="302" spans="28:29">
      <c r="AB302" s="100"/>
      <c r="AC302" s="100"/>
    </row>
    <row r="303" spans="28:29">
      <c r="AB303" s="100"/>
      <c r="AC303" s="100"/>
    </row>
    <row r="304" spans="28:29">
      <c r="AB304" s="100"/>
      <c r="AC304" s="100"/>
    </row>
    <row r="305" spans="28:29">
      <c r="AB305" s="100"/>
      <c r="AC305" s="100"/>
    </row>
    <row r="306" spans="28:29">
      <c r="AB306" s="100"/>
      <c r="AC306" s="100"/>
    </row>
    <row r="307" spans="28:29">
      <c r="AB307" s="100"/>
      <c r="AC307" s="100"/>
    </row>
    <row r="308" spans="28:29">
      <c r="AB308" s="100"/>
      <c r="AC308" s="100"/>
    </row>
    <row r="309" spans="28:29">
      <c r="AB309" s="100"/>
      <c r="AC309" s="100"/>
    </row>
    <row r="310" spans="28:29">
      <c r="AB310" s="100"/>
      <c r="AC310" s="100"/>
    </row>
    <row r="311" spans="28:29">
      <c r="AB311" s="100"/>
      <c r="AC311" s="100"/>
    </row>
    <row r="312" spans="28:29">
      <c r="AB312" s="100"/>
      <c r="AC312" s="100"/>
    </row>
    <row r="313" spans="28:29">
      <c r="AB313" s="100"/>
      <c r="AC313" s="100"/>
    </row>
    <row r="314" spans="28:29">
      <c r="AB314" s="100"/>
      <c r="AC314" s="100"/>
    </row>
    <row r="315" spans="28:29">
      <c r="AB315" s="100"/>
      <c r="AC315" s="100"/>
    </row>
    <row r="316" spans="28:29">
      <c r="AB316" s="100"/>
      <c r="AC316" s="100"/>
    </row>
    <row r="317" spans="28:29">
      <c r="AB317" s="100"/>
      <c r="AC317" s="100"/>
    </row>
    <row r="318" spans="28:29">
      <c r="AB318" s="100"/>
      <c r="AC318" s="100"/>
    </row>
    <row r="319" spans="28:29">
      <c r="AB319" s="100"/>
      <c r="AC319" s="100"/>
    </row>
    <row r="320" spans="28:29">
      <c r="AB320" s="100"/>
      <c r="AC320" s="100"/>
    </row>
    <row r="321" spans="28:29">
      <c r="AB321" s="100"/>
      <c r="AC321" s="100"/>
    </row>
    <row r="322" spans="28:29">
      <c r="AB322" s="100"/>
      <c r="AC322" s="100"/>
    </row>
    <row r="323" spans="28:29">
      <c r="AB323" s="100"/>
      <c r="AC323" s="100"/>
    </row>
    <row r="324" spans="28:29">
      <c r="AB324" s="100"/>
      <c r="AC324" s="100"/>
    </row>
    <row r="325" spans="28:29">
      <c r="AB325" s="100"/>
      <c r="AC325" s="100"/>
    </row>
    <row r="326" spans="28:29">
      <c r="AB326" s="100"/>
      <c r="AC326" s="100"/>
    </row>
    <row r="327" spans="28:29">
      <c r="AB327" s="100"/>
      <c r="AC327" s="100"/>
    </row>
    <row r="328" spans="28:29">
      <c r="AB328" s="100"/>
      <c r="AC328" s="100"/>
    </row>
    <row r="329" spans="28:29">
      <c r="AB329" s="100"/>
      <c r="AC329" s="100"/>
    </row>
    <row r="330" spans="28:29">
      <c r="AB330" s="100"/>
      <c r="AC330" s="100"/>
    </row>
    <row r="331" spans="28:29">
      <c r="AB331" s="100"/>
      <c r="AC331" s="100"/>
    </row>
    <row r="332" spans="28:29">
      <c r="AB332" s="100"/>
      <c r="AC332" s="100"/>
    </row>
    <row r="333" spans="28:29">
      <c r="AB333" s="100"/>
      <c r="AC333" s="100"/>
    </row>
    <row r="334" spans="28:29">
      <c r="AB334" s="100"/>
      <c r="AC334" s="100"/>
    </row>
    <row r="335" spans="28:29">
      <c r="AB335" s="100"/>
      <c r="AC335" s="100"/>
    </row>
    <row r="336" spans="28:29">
      <c r="AB336" s="100"/>
      <c r="AC336" s="100"/>
    </row>
    <row r="337" spans="28:29">
      <c r="AB337" s="100"/>
      <c r="AC337" s="100"/>
    </row>
    <row r="338" spans="28:29">
      <c r="AB338" s="100"/>
      <c r="AC338" s="100"/>
    </row>
    <row r="339" spans="28:29">
      <c r="AB339" s="100"/>
      <c r="AC339" s="100"/>
    </row>
    <row r="340" spans="28:29">
      <c r="AB340" s="100"/>
      <c r="AC340" s="100"/>
    </row>
    <row r="341" spans="28:29">
      <c r="AB341" s="100"/>
      <c r="AC341" s="100"/>
    </row>
    <row r="342" spans="28:29">
      <c r="AB342" s="100"/>
      <c r="AC342" s="100"/>
    </row>
    <row r="343" spans="28:29">
      <c r="AB343" s="100"/>
      <c r="AC343" s="100"/>
    </row>
    <row r="344" spans="28:29">
      <c r="AB344" s="100"/>
      <c r="AC344" s="100"/>
    </row>
    <row r="345" spans="28:29">
      <c r="AB345" s="100"/>
      <c r="AC345" s="100"/>
    </row>
    <row r="346" spans="28:29">
      <c r="AB346" s="100"/>
      <c r="AC346" s="100"/>
    </row>
    <row r="347" spans="28:29">
      <c r="AB347" s="100"/>
      <c r="AC347" s="100"/>
    </row>
    <row r="348" spans="28:29">
      <c r="AB348" s="100"/>
      <c r="AC348" s="100"/>
    </row>
    <row r="349" spans="28:29">
      <c r="AB349" s="100"/>
      <c r="AC349" s="100"/>
    </row>
    <row r="350" spans="28:29">
      <c r="AB350" s="100"/>
      <c r="AC350" s="100"/>
    </row>
    <row r="351" spans="28:29">
      <c r="AB351" s="100"/>
      <c r="AC351" s="100"/>
    </row>
    <row r="352" spans="28:29">
      <c r="AB352" s="100"/>
      <c r="AC352" s="100"/>
    </row>
    <row r="353" spans="28:29">
      <c r="AB353" s="100"/>
      <c r="AC353" s="100"/>
    </row>
    <row r="354" spans="28:29">
      <c r="AB354" s="100"/>
      <c r="AC354" s="100"/>
    </row>
    <row r="355" spans="28:29">
      <c r="AB355" s="100"/>
      <c r="AC355" s="100"/>
    </row>
    <row r="356" spans="28:29">
      <c r="AB356" s="100"/>
      <c r="AC356" s="100"/>
    </row>
    <row r="357" spans="28:29">
      <c r="AB357" s="100"/>
      <c r="AC357" s="100"/>
    </row>
    <row r="358" spans="28:29">
      <c r="AB358" s="100"/>
      <c r="AC358" s="100"/>
    </row>
    <row r="359" spans="28:29">
      <c r="AB359" s="100"/>
      <c r="AC359" s="100"/>
    </row>
    <row r="360" spans="28:29">
      <c r="AB360" s="100"/>
      <c r="AC360" s="100"/>
    </row>
    <row r="361" spans="28:29">
      <c r="AB361" s="100"/>
      <c r="AC361" s="100"/>
    </row>
    <row r="362" spans="28:29">
      <c r="AB362" s="100"/>
      <c r="AC362" s="100"/>
    </row>
    <row r="363" spans="28:29">
      <c r="AB363" s="100"/>
      <c r="AC363" s="100"/>
    </row>
    <row r="364" spans="28:29">
      <c r="AB364" s="100"/>
      <c r="AC364" s="100"/>
    </row>
    <row r="365" spans="28:29">
      <c r="AB365" s="100"/>
      <c r="AC365" s="100"/>
    </row>
    <row r="366" spans="28:29">
      <c r="AB366" s="100"/>
      <c r="AC366" s="100"/>
    </row>
    <row r="367" spans="28:29">
      <c r="AB367" s="100"/>
      <c r="AC367" s="100"/>
    </row>
    <row r="368" spans="28:29">
      <c r="AB368" s="100"/>
      <c r="AC368" s="100"/>
    </row>
    <row r="369" spans="28:29">
      <c r="AB369" s="100"/>
      <c r="AC369" s="100"/>
    </row>
    <row r="370" spans="28:29">
      <c r="AB370" s="100"/>
      <c r="AC370" s="100"/>
    </row>
    <row r="371" spans="28:29">
      <c r="AB371" s="100"/>
      <c r="AC371" s="100"/>
    </row>
    <row r="372" spans="28:29">
      <c r="AB372" s="100"/>
      <c r="AC372" s="100"/>
    </row>
    <row r="373" spans="28:29">
      <c r="AB373" s="100"/>
      <c r="AC373" s="100"/>
    </row>
    <row r="374" spans="28:29">
      <c r="AB374" s="100"/>
      <c r="AC374" s="100"/>
    </row>
    <row r="375" spans="28:29">
      <c r="AB375" s="100"/>
      <c r="AC375" s="100"/>
    </row>
    <row r="376" spans="28:29">
      <c r="AB376" s="100"/>
      <c r="AC376" s="100"/>
    </row>
    <row r="377" spans="28:29">
      <c r="AB377" s="100"/>
      <c r="AC377" s="100"/>
    </row>
    <row r="378" spans="28:29">
      <c r="AB378" s="100"/>
      <c r="AC378" s="100"/>
    </row>
    <row r="379" spans="28:29">
      <c r="AB379" s="100"/>
      <c r="AC379" s="100"/>
    </row>
    <row r="380" spans="28:29">
      <c r="AB380" s="100"/>
      <c r="AC380" s="100"/>
    </row>
    <row r="381" spans="28:29">
      <c r="AB381" s="100"/>
      <c r="AC381" s="100"/>
    </row>
    <row r="382" spans="28:29">
      <c r="AB382" s="100"/>
      <c r="AC382" s="100"/>
    </row>
    <row r="383" spans="28:29">
      <c r="AB383" s="100"/>
      <c r="AC383" s="100"/>
    </row>
    <row r="384" spans="28:29">
      <c r="AB384" s="100"/>
      <c r="AC384" s="100"/>
    </row>
    <row r="385" spans="28:29">
      <c r="AB385" s="100"/>
      <c r="AC385" s="100"/>
    </row>
    <row r="386" spans="28:29">
      <c r="AB386" s="100"/>
      <c r="AC386" s="100"/>
    </row>
    <row r="387" spans="28:29">
      <c r="AB387" s="100"/>
      <c r="AC387" s="100"/>
    </row>
    <row r="388" spans="28:29">
      <c r="AB388" s="100"/>
      <c r="AC388" s="100"/>
    </row>
    <row r="389" spans="28:29">
      <c r="AB389" s="100"/>
      <c r="AC389" s="100"/>
    </row>
    <row r="390" spans="28:29">
      <c r="AB390" s="100"/>
      <c r="AC390" s="100"/>
    </row>
    <row r="391" spans="28:29">
      <c r="AB391" s="100"/>
      <c r="AC391" s="100"/>
    </row>
    <row r="392" spans="28:29">
      <c r="AB392" s="100"/>
      <c r="AC392" s="100"/>
    </row>
    <row r="393" spans="28:29">
      <c r="AB393" s="100"/>
      <c r="AC393" s="100"/>
    </row>
    <row r="394" spans="28:29">
      <c r="AB394" s="100"/>
      <c r="AC394" s="100"/>
    </row>
    <row r="395" spans="28:29">
      <c r="AB395" s="100"/>
      <c r="AC395" s="100"/>
    </row>
    <row r="396" spans="28:29">
      <c r="AB396" s="100"/>
      <c r="AC396" s="100"/>
    </row>
    <row r="397" spans="28:29">
      <c r="AB397" s="100"/>
      <c r="AC397" s="100"/>
    </row>
    <row r="398" spans="28:29">
      <c r="AB398" s="100"/>
      <c r="AC398" s="100"/>
    </row>
    <row r="399" spans="28:29">
      <c r="AB399" s="100"/>
      <c r="AC399" s="100"/>
    </row>
    <row r="400" spans="28:29">
      <c r="AB400" s="100"/>
      <c r="AC400" s="100"/>
    </row>
    <row r="401" spans="28:29">
      <c r="AB401" s="100"/>
      <c r="AC401" s="100"/>
    </row>
    <row r="402" spans="28:29">
      <c r="AB402" s="100"/>
      <c r="AC402" s="100"/>
    </row>
    <row r="403" spans="28:29">
      <c r="AB403" s="100"/>
      <c r="AC403" s="100"/>
    </row>
    <row r="404" spans="28:29">
      <c r="AB404" s="100"/>
      <c r="AC404" s="100"/>
    </row>
    <row r="405" spans="28:29">
      <c r="AB405" s="100"/>
      <c r="AC405" s="100"/>
    </row>
    <row r="406" spans="28:29">
      <c r="AB406" s="100"/>
      <c r="AC406" s="100"/>
    </row>
    <row r="407" spans="28:29">
      <c r="AB407" s="100"/>
      <c r="AC407" s="100"/>
    </row>
    <row r="408" spans="28:29">
      <c r="AB408" s="100"/>
      <c r="AC408" s="100"/>
    </row>
    <row r="409" spans="28:29">
      <c r="AB409" s="100"/>
      <c r="AC409" s="100"/>
    </row>
    <row r="410" spans="28:29">
      <c r="AB410" s="100"/>
      <c r="AC410" s="100"/>
    </row>
    <row r="411" spans="28:29">
      <c r="AB411" s="100"/>
      <c r="AC411" s="100"/>
    </row>
    <row r="412" spans="28:29">
      <c r="AB412" s="100"/>
      <c r="AC412" s="100"/>
    </row>
    <row r="413" spans="28:29">
      <c r="AB413" s="100"/>
      <c r="AC413" s="100"/>
    </row>
    <row r="414" spans="28:29">
      <c r="AB414" s="100"/>
      <c r="AC414" s="100"/>
    </row>
    <row r="415" spans="28:29">
      <c r="AB415" s="100"/>
      <c r="AC415" s="100"/>
    </row>
    <row r="416" spans="28:29">
      <c r="AB416" s="100"/>
      <c r="AC416" s="100"/>
    </row>
    <row r="417" spans="28:29">
      <c r="AB417" s="100"/>
      <c r="AC417" s="100"/>
    </row>
    <row r="418" spans="28:29">
      <c r="AB418" s="100"/>
      <c r="AC418" s="100"/>
    </row>
    <row r="419" spans="28:29">
      <c r="AB419" s="100"/>
      <c r="AC419" s="100"/>
    </row>
    <row r="420" spans="28:29">
      <c r="AB420" s="100"/>
      <c r="AC420" s="100"/>
    </row>
    <row r="421" spans="28:29">
      <c r="AB421" s="100"/>
      <c r="AC421" s="100"/>
    </row>
    <row r="422" spans="28:29">
      <c r="AB422" s="100"/>
      <c r="AC422" s="100"/>
    </row>
    <row r="423" spans="28:29">
      <c r="AB423" s="100"/>
      <c r="AC423" s="100"/>
    </row>
    <row r="424" spans="28:29">
      <c r="AB424" s="100"/>
      <c r="AC424" s="100"/>
    </row>
    <row r="425" spans="28:29">
      <c r="AB425" s="100"/>
      <c r="AC425" s="100"/>
    </row>
    <row r="426" spans="28:29">
      <c r="AB426" s="100"/>
      <c r="AC426" s="100"/>
    </row>
    <row r="427" spans="28:29">
      <c r="AB427" s="100"/>
      <c r="AC427" s="100"/>
    </row>
    <row r="428" spans="28:29">
      <c r="AB428" s="100"/>
      <c r="AC428" s="100"/>
    </row>
    <row r="429" spans="28:29">
      <c r="AB429" s="100"/>
      <c r="AC429" s="100"/>
    </row>
    <row r="430" spans="28:29">
      <c r="AB430" s="100"/>
      <c r="AC430" s="100"/>
    </row>
    <row r="431" spans="28:29">
      <c r="AB431" s="100"/>
      <c r="AC431" s="100"/>
    </row>
    <row r="432" spans="28:29">
      <c r="AB432" s="100"/>
      <c r="AC432" s="100"/>
    </row>
    <row r="433" spans="28:29">
      <c r="AB433" s="100"/>
      <c r="AC433" s="100"/>
    </row>
    <row r="434" spans="28:29">
      <c r="AB434" s="100"/>
      <c r="AC434" s="100"/>
    </row>
    <row r="435" spans="28:29">
      <c r="AB435" s="100"/>
      <c r="AC435" s="100"/>
    </row>
    <row r="436" spans="28:29">
      <c r="AB436" s="100"/>
      <c r="AC436" s="100"/>
    </row>
    <row r="437" spans="28:29">
      <c r="AB437" s="100"/>
      <c r="AC437" s="100"/>
    </row>
    <row r="438" spans="28:29">
      <c r="AB438" s="100"/>
      <c r="AC438" s="100"/>
    </row>
    <row r="439" spans="28:29">
      <c r="AB439" s="100"/>
      <c r="AC439" s="100"/>
    </row>
    <row r="440" spans="28:29">
      <c r="AB440" s="100"/>
      <c r="AC440" s="100"/>
    </row>
    <row r="441" spans="28:29">
      <c r="AB441" s="100"/>
      <c r="AC441" s="100"/>
    </row>
    <row r="442" spans="28:29">
      <c r="AB442" s="100"/>
      <c r="AC442" s="100"/>
    </row>
    <row r="443" spans="28:29">
      <c r="AB443" s="100"/>
      <c r="AC443" s="100"/>
    </row>
    <row r="444" spans="28:29">
      <c r="AB444" s="100"/>
      <c r="AC444" s="100"/>
    </row>
    <row r="445" spans="28:29">
      <c r="AB445" s="100"/>
      <c r="AC445" s="100"/>
    </row>
    <row r="446" spans="28:29">
      <c r="AB446" s="100"/>
      <c r="AC446" s="100"/>
    </row>
    <row r="447" spans="28:29">
      <c r="AB447" s="100"/>
      <c r="AC447" s="100"/>
    </row>
    <row r="448" spans="28:29">
      <c r="AB448" s="100"/>
      <c r="AC448" s="100"/>
    </row>
    <row r="449" spans="28:29">
      <c r="AB449" s="100"/>
      <c r="AC449" s="100"/>
    </row>
    <row r="450" spans="28:29">
      <c r="AB450" s="100"/>
      <c r="AC450" s="100"/>
    </row>
    <row r="451" spans="28:29">
      <c r="AB451" s="100"/>
      <c r="AC451" s="100"/>
    </row>
    <row r="452" spans="28:29">
      <c r="AB452" s="100"/>
      <c r="AC452" s="100"/>
    </row>
    <row r="453" spans="28:29">
      <c r="AB453" s="100"/>
      <c r="AC453" s="100"/>
    </row>
    <row r="454" spans="28:29">
      <c r="AB454" s="100"/>
      <c r="AC454" s="100"/>
    </row>
    <row r="455" spans="28:29">
      <c r="AB455" s="100"/>
      <c r="AC455" s="100"/>
    </row>
    <row r="456" spans="28:29">
      <c r="AB456" s="100"/>
      <c r="AC456" s="100"/>
    </row>
    <row r="457" spans="28:29">
      <c r="AB457" s="100"/>
      <c r="AC457" s="100"/>
    </row>
    <row r="458" spans="28:29">
      <c r="AB458" s="100"/>
      <c r="AC458" s="100"/>
    </row>
    <row r="459" spans="28:29">
      <c r="AB459" s="100"/>
      <c r="AC459" s="100"/>
    </row>
    <row r="460" spans="28:29">
      <c r="AB460" s="100"/>
      <c r="AC460" s="100"/>
    </row>
    <row r="461" spans="28:29">
      <c r="AB461" s="100"/>
      <c r="AC461" s="100"/>
    </row>
    <row r="462" spans="28:29">
      <c r="AB462" s="100"/>
      <c r="AC462" s="100"/>
    </row>
    <row r="463" spans="28:29">
      <c r="AB463" s="100"/>
      <c r="AC463" s="100"/>
    </row>
    <row r="464" spans="28:29">
      <c r="AB464" s="100"/>
      <c r="AC464" s="100"/>
    </row>
    <row r="465" spans="28:29">
      <c r="AB465" s="100"/>
      <c r="AC465" s="100"/>
    </row>
    <row r="466" spans="28:29">
      <c r="AB466" s="100"/>
      <c r="AC466" s="100"/>
    </row>
    <row r="467" spans="28:29">
      <c r="AB467" s="100"/>
      <c r="AC467" s="100"/>
    </row>
    <row r="468" spans="28:29">
      <c r="AB468" s="100"/>
      <c r="AC468" s="100"/>
    </row>
    <row r="469" spans="28:29">
      <c r="AB469" s="100"/>
      <c r="AC469" s="100"/>
    </row>
    <row r="470" spans="28:29">
      <c r="AB470" s="100"/>
      <c r="AC470" s="100"/>
    </row>
    <row r="471" spans="28:29">
      <c r="AB471" s="100"/>
      <c r="AC471" s="100"/>
    </row>
    <row r="472" spans="28:29">
      <c r="AB472" s="100"/>
      <c r="AC472" s="100"/>
    </row>
    <row r="473" spans="28:29">
      <c r="AB473" s="100"/>
      <c r="AC473" s="100"/>
    </row>
    <row r="474" spans="28:29">
      <c r="AB474" s="100"/>
      <c r="AC474" s="100"/>
    </row>
    <row r="475" spans="28:29">
      <c r="AB475" s="100"/>
      <c r="AC475" s="100"/>
    </row>
    <row r="476" spans="28:29">
      <c r="AB476" s="100"/>
      <c r="AC476" s="100"/>
    </row>
    <row r="477" spans="28:29">
      <c r="AB477" s="100"/>
      <c r="AC477" s="100"/>
    </row>
    <row r="478" spans="28:29">
      <c r="AB478" s="100"/>
      <c r="AC478" s="100"/>
    </row>
    <row r="479" spans="28:29">
      <c r="AB479" s="100"/>
      <c r="AC479" s="100"/>
    </row>
    <row r="480" spans="28:29">
      <c r="AB480" s="100"/>
      <c r="AC480" s="100"/>
    </row>
    <row r="481" spans="28:29">
      <c r="AB481" s="100"/>
      <c r="AC481" s="100"/>
    </row>
    <row r="482" spans="28:29">
      <c r="AB482" s="100"/>
      <c r="AC482" s="100"/>
    </row>
    <row r="483" spans="28:29">
      <c r="AB483" s="100"/>
      <c r="AC483" s="100"/>
    </row>
    <row r="484" spans="28:29">
      <c r="AB484" s="100"/>
      <c r="AC484" s="100"/>
    </row>
    <row r="485" spans="28:29">
      <c r="AB485" s="100"/>
      <c r="AC485" s="100"/>
    </row>
    <row r="486" spans="28:29">
      <c r="AB486" s="100"/>
      <c r="AC486" s="100"/>
    </row>
    <row r="487" spans="28:29">
      <c r="AB487" s="100"/>
      <c r="AC487" s="100"/>
    </row>
    <row r="488" spans="28:29">
      <c r="AB488" s="100"/>
      <c r="AC488" s="100"/>
    </row>
    <row r="489" spans="28:29">
      <c r="AB489" s="100"/>
      <c r="AC489" s="100"/>
    </row>
    <row r="490" spans="28:29">
      <c r="AB490" s="100"/>
      <c r="AC490" s="100"/>
    </row>
    <row r="491" spans="28:29">
      <c r="AB491" s="100"/>
      <c r="AC491" s="100"/>
    </row>
    <row r="492" spans="28:29">
      <c r="AB492" s="100"/>
      <c r="AC492" s="100"/>
    </row>
    <row r="493" spans="28:29">
      <c r="AB493" s="100"/>
      <c r="AC493" s="100"/>
    </row>
    <row r="494" spans="28:29">
      <c r="AB494" s="100"/>
      <c r="AC494" s="100"/>
    </row>
    <row r="495" spans="28:29">
      <c r="AB495" s="100"/>
      <c r="AC495" s="100"/>
    </row>
    <row r="496" spans="28:29">
      <c r="AB496" s="100"/>
      <c r="AC496" s="100"/>
    </row>
    <row r="497" spans="28:29">
      <c r="AB497" s="100"/>
      <c r="AC497" s="100"/>
    </row>
    <row r="498" spans="28:29">
      <c r="AB498" s="100"/>
      <c r="AC498" s="100"/>
    </row>
    <row r="499" spans="28:29">
      <c r="AB499" s="100"/>
      <c r="AC499" s="100"/>
    </row>
    <row r="500" spans="28:29">
      <c r="AB500" s="100"/>
      <c r="AC500" s="100"/>
    </row>
    <row r="501" spans="28:29">
      <c r="AB501" s="100"/>
      <c r="AC501" s="100"/>
    </row>
    <row r="502" spans="28:29">
      <c r="AB502" s="100"/>
      <c r="AC502" s="100"/>
    </row>
    <row r="503" spans="28:29">
      <c r="AB503" s="100"/>
      <c r="AC503" s="100"/>
    </row>
    <row r="504" spans="28:29">
      <c r="AB504" s="100"/>
      <c r="AC504" s="100"/>
    </row>
    <row r="505" spans="28:29">
      <c r="AB505" s="100"/>
      <c r="AC505" s="100"/>
    </row>
    <row r="506" spans="28:29">
      <c r="AB506" s="100"/>
      <c r="AC506" s="100"/>
    </row>
    <row r="507" spans="28:29">
      <c r="AB507" s="100"/>
      <c r="AC507" s="100"/>
    </row>
    <row r="508" spans="28:29">
      <c r="AB508" s="100"/>
      <c r="AC508" s="100"/>
    </row>
    <row r="509" spans="28:29">
      <c r="AB509" s="100"/>
      <c r="AC509" s="100"/>
    </row>
    <row r="510" spans="28:29">
      <c r="AB510" s="100"/>
      <c r="AC510" s="100"/>
    </row>
    <row r="511" spans="28:29">
      <c r="AB511" s="100"/>
      <c r="AC511" s="100"/>
    </row>
    <row r="512" spans="28:29">
      <c r="AB512" s="100"/>
      <c r="AC512" s="100"/>
    </row>
    <row r="513" spans="28:29">
      <c r="AB513" s="100"/>
      <c r="AC513" s="100"/>
    </row>
    <row r="514" spans="28:29">
      <c r="AB514" s="100"/>
      <c r="AC514" s="100"/>
    </row>
    <row r="515" spans="28:29">
      <c r="AB515" s="100"/>
      <c r="AC515" s="100"/>
    </row>
    <row r="516" spans="28:29">
      <c r="AB516" s="100"/>
      <c r="AC516" s="100"/>
    </row>
    <row r="517" spans="28:29">
      <c r="AB517" s="100"/>
      <c r="AC517" s="100"/>
    </row>
    <row r="518" spans="28:29">
      <c r="AB518" s="100"/>
      <c r="AC518" s="100"/>
    </row>
    <row r="519" spans="28:29">
      <c r="AB519" s="100"/>
      <c r="AC519" s="100"/>
    </row>
    <row r="520" spans="28:29">
      <c r="AB520" s="100"/>
      <c r="AC520" s="100"/>
    </row>
    <row r="521" spans="28:29">
      <c r="AB521" s="100"/>
      <c r="AC521" s="100"/>
    </row>
    <row r="522" spans="28:29">
      <c r="AB522" s="100"/>
      <c r="AC522" s="100"/>
    </row>
    <row r="523" spans="28:29">
      <c r="AB523" s="100"/>
      <c r="AC523" s="100"/>
    </row>
    <row r="524" spans="28:29">
      <c r="AB524" s="100"/>
      <c r="AC524" s="100"/>
    </row>
    <row r="525" spans="28:29">
      <c r="AB525" s="100"/>
      <c r="AC525" s="100"/>
    </row>
    <row r="526" spans="28:29">
      <c r="AB526" s="100"/>
      <c r="AC526" s="100"/>
    </row>
    <row r="527" spans="28:29">
      <c r="AB527" s="100"/>
      <c r="AC527" s="100"/>
    </row>
    <row r="528" spans="28:29">
      <c r="AB528" s="100"/>
      <c r="AC528" s="100"/>
    </row>
    <row r="529" spans="28:29">
      <c r="AB529" s="100"/>
      <c r="AC529" s="100"/>
    </row>
    <row r="530" spans="28:29">
      <c r="AB530" s="100"/>
      <c r="AC530" s="100"/>
    </row>
    <row r="531" spans="28:29">
      <c r="AB531" s="100"/>
      <c r="AC531" s="100"/>
    </row>
    <row r="532" spans="28:29">
      <c r="AB532" s="100"/>
      <c r="AC532" s="100"/>
    </row>
    <row r="533" spans="28:29">
      <c r="AB533" s="100"/>
      <c r="AC533" s="100"/>
    </row>
    <row r="534" spans="28:29">
      <c r="AB534" s="100"/>
      <c r="AC534" s="100"/>
    </row>
    <row r="535" spans="28:29">
      <c r="AB535" s="100"/>
      <c r="AC535" s="100"/>
    </row>
    <row r="536" spans="28:29">
      <c r="AB536" s="100"/>
      <c r="AC536" s="100"/>
    </row>
    <row r="537" spans="28:29">
      <c r="AB537" s="100"/>
      <c r="AC537" s="100"/>
    </row>
    <row r="538" spans="28:29">
      <c r="AB538" s="100"/>
      <c r="AC538" s="100"/>
    </row>
    <row r="539" spans="28:29">
      <c r="AB539" s="100"/>
      <c r="AC539" s="100"/>
    </row>
    <row r="540" spans="28:29">
      <c r="AB540" s="100"/>
      <c r="AC540" s="100"/>
    </row>
    <row r="541" spans="28:29">
      <c r="AB541" s="100"/>
      <c r="AC541" s="100"/>
    </row>
    <row r="542" spans="28:29">
      <c r="AB542" s="100"/>
      <c r="AC542" s="100"/>
    </row>
    <row r="543" spans="28:29">
      <c r="AB543" s="100"/>
      <c r="AC543" s="100"/>
    </row>
    <row r="544" spans="28:29">
      <c r="AB544" s="100"/>
      <c r="AC544" s="100"/>
    </row>
    <row r="545" spans="28:29">
      <c r="AB545" s="100"/>
      <c r="AC545" s="100"/>
    </row>
    <row r="546" spans="28:29">
      <c r="AB546" s="100"/>
      <c r="AC546" s="100"/>
    </row>
    <row r="547" spans="28:29">
      <c r="AB547" s="100"/>
      <c r="AC547" s="100"/>
    </row>
    <row r="548" spans="28:29">
      <c r="AB548" s="100"/>
      <c r="AC548" s="100"/>
    </row>
    <row r="549" spans="28:29">
      <c r="AB549" s="100"/>
      <c r="AC549" s="100"/>
    </row>
    <row r="550" spans="28:29">
      <c r="AB550" s="100"/>
      <c r="AC550" s="100"/>
    </row>
    <row r="551" spans="28:29">
      <c r="AB551" s="100"/>
      <c r="AC551" s="100"/>
    </row>
    <row r="552" spans="28:29">
      <c r="AB552" s="100"/>
      <c r="AC552" s="100"/>
    </row>
    <row r="553" spans="28:29">
      <c r="AB553" s="100"/>
      <c r="AC553" s="100"/>
    </row>
    <row r="554" spans="28:29">
      <c r="AB554" s="100"/>
      <c r="AC554" s="100"/>
    </row>
    <row r="555" spans="28:29">
      <c r="AB555" s="100"/>
      <c r="AC555" s="100"/>
    </row>
    <row r="556" spans="28:29">
      <c r="AB556" s="100"/>
      <c r="AC556" s="100"/>
    </row>
    <row r="557" spans="28:29">
      <c r="AB557" s="100"/>
      <c r="AC557" s="100"/>
    </row>
    <row r="558" spans="28:29">
      <c r="AB558" s="100"/>
      <c r="AC558" s="100"/>
    </row>
    <row r="559" spans="28:29">
      <c r="AB559" s="100"/>
      <c r="AC559" s="100"/>
    </row>
    <row r="560" spans="28:29">
      <c r="AB560" s="100"/>
      <c r="AC560" s="100"/>
    </row>
    <row r="561" spans="28:29">
      <c r="AB561" s="100"/>
      <c r="AC561" s="100"/>
    </row>
    <row r="562" spans="28:29">
      <c r="AB562" s="100"/>
      <c r="AC562" s="100"/>
    </row>
    <row r="563" spans="28:29">
      <c r="AB563" s="100"/>
      <c r="AC563" s="100"/>
    </row>
    <row r="564" spans="28:29">
      <c r="AB564" s="100"/>
      <c r="AC564" s="100"/>
    </row>
    <row r="565" spans="28:29">
      <c r="AB565" s="100"/>
      <c r="AC565" s="100"/>
    </row>
    <row r="566" spans="28:29">
      <c r="AB566" s="100"/>
      <c r="AC566" s="100"/>
    </row>
    <row r="567" spans="28:29">
      <c r="AB567" s="100"/>
      <c r="AC567" s="100"/>
    </row>
    <row r="568" spans="28:29">
      <c r="AB568" s="100"/>
      <c r="AC568" s="100"/>
    </row>
    <row r="569" spans="28:29">
      <c r="AB569" s="100"/>
      <c r="AC569" s="100"/>
    </row>
    <row r="570" spans="28:29">
      <c r="AB570" s="100"/>
      <c r="AC570" s="100"/>
    </row>
    <row r="571" spans="28:29">
      <c r="AB571" s="100"/>
      <c r="AC571" s="100"/>
    </row>
    <row r="572" spans="28:29">
      <c r="AB572" s="100"/>
      <c r="AC572" s="100"/>
    </row>
    <row r="573" spans="28:29">
      <c r="AB573" s="100"/>
      <c r="AC573" s="100"/>
    </row>
    <row r="574" spans="28:29">
      <c r="AB574" s="100"/>
      <c r="AC574" s="100"/>
    </row>
    <row r="575" spans="28:29">
      <c r="AB575" s="100"/>
      <c r="AC575" s="100"/>
    </row>
    <row r="576" spans="28:29">
      <c r="AB576" s="100"/>
      <c r="AC576" s="100"/>
    </row>
    <row r="577" spans="28:29">
      <c r="AB577" s="100"/>
      <c r="AC577" s="100"/>
    </row>
    <row r="578" spans="28:29">
      <c r="AB578" s="100"/>
      <c r="AC578" s="100"/>
    </row>
    <row r="579" spans="28:29">
      <c r="AB579" s="100"/>
      <c r="AC579" s="100"/>
    </row>
    <row r="580" spans="28:29">
      <c r="AB580" s="100"/>
      <c r="AC580" s="100"/>
    </row>
    <row r="581" spans="28:29">
      <c r="AB581" s="100"/>
      <c r="AC581" s="100"/>
    </row>
    <row r="582" spans="28:29">
      <c r="AB582" s="100"/>
      <c r="AC582" s="100"/>
    </row>
    <row r="583" spans="28:29">
      <c r="AB583" s="100"/>
      <c r="AC583" s="100"/>
    </row>
    <row r="584" spans="28:29">
      <c r="AB584" s="100"/>
      <c r="AC584" s="100"/>
    </row>
    <row r="585" spans="28:29">
      <c r="AB585" s="100"/>
      <c r="AC585" s="100"/>
    </row>
    <row r="586" spans="28:29">
      <c r="AB586" s="100"/>
      <c r="AC586" s="100"/>
    </row>
    <row r="587" spans="28:29">
      <c r="AB587" s="100"/>
      <c r="AC587" s="100"/>
    </row>
    <row r="588" spans="28:29">
      <c r="AB588" s="100"/>
      <c r="AC588" s="100"/>
    </row>
    <row r="589" spans="28:29">
      <c r="AB589" s="100"/>
      <c r="AC589" s="100"/>
    </row>
    <row r="590" spans="28:29">
      <c r="AB590" s="100"/>
      <c r="AC590" s="100"/>
    </row>
    <row r="591" spans="28:29">
      <c r="AB591" s="100"/>
      <c r="AC591" s="100"/>
    </row>
    <row r="592" spans="28:29">
      <c r="AB592" s="100"/>
      <c r="AC592" s="100"/>
    </row>
    <row r="593" spans="28:29">
      <c r="AB593" s="100"/>
      <c r="AC593" s="100"/>
    </row>
    <row r="594" spans="28:29">
      <c r="AB594" s="100"/>
      <c r="AC594" s="100"/>
    </row>
    <row r="595" spans="28:29">
      <c r="AB595" s="100"/>
      <c r="AC595" s="100"/>
    </row>
    <row r="596" spans="28:29">
      <c r="AB596" s="100"/>
      <c r="AC596" s="100"/>
    </row>
    <row r="597" spans="28:29">
      <c r="AB597" s="100"/>
      <c r="AC597" s="100"/>
    </row>
    <row r="598" spans="28:29">
      <c r="AB598" s="100"/>
      <c r="AC598" s="100"/>
    </row>
    <row r="599" spans="28:29">
      <c r="AB599" s="100"/>
      <c r="AC599" s="100"/>
    </row>
    <row r="600" spans="28:29">
      <c r="AB600" s="100"/>
      <c r="AC600" s="100"/>
    </row>
    <row r="601" spans="28:29">
      <c r="AB601" s="100"/>
      <c r="AC601" s="100"/>
    </row>
    <row r="602" spans="28:29">
      <c r="AB602" s="100"/>
      <c r="AC602" s="100"/>
    </row>
    <row r="603" spans="28:29">
      <c r="AB603" s="100"/>
      <c r="AC603" s="100"/>
    </row>
    <row r="604" spans="28:29">
      <c r="AB604" s="100"/>
      <c r="AC604" s="100"/>
    </row>
    <row r="605" spans="28:29">
      <c r="AB605" s="100"/>
      <c r="AC605" s="100"/>
    </row>
    <row r="606" spans="28:29">
      <c r="AB606" s="100"/>
      <c r="AC606" s="100"/>
    </row>
    <row r="607" spans="28:29">
      <c r="AB607" s="100"/>
      <c r="AC607" s="100"/>
    </row>
    <row r="608" spans="28:29">
      <c r="AB608" s="100"/>
      <c r="AC608" s="100"/>
    </row>
    <row r="609" spans="28:29">
      <c r="AB609" s="100"/>
      <c r="AC609" s="100"/>
    </row>
    <row r="610" spans="28:29">
      <c r="AB610" s="100"/>
      <c r="AC610" s="100"/>
    </row>
    <row r="611" spans="28:29">
      <c r="AB611" s="100"/>
      <c r="AC611" s="100"/>
    </row>
    <row r="612" spans="28:29">
      <c r="AB612" s="100"/>
      <c r="AC612" s="100"/>
    </row>
    <row r="613" spans="28:29">
      <c r="AB613" s="100"/>
      <c r="AC613" s="100"/>
    </row>
    <row r="614" spans="28:29">
      <c r="AB614" s="100"/>
      <c r="AC614" s="100"/>
    </row>
    <row r="615" spans="28:29">
      <c r="AB615" s="100"/>
      <c r="AC615" s="100"/>
    </row>
    <row r="616" spans="28:29">
      <c r="AB616" s="100"/>
      <c r="AC616" s="100"/>
    </row>
    <row r="617" spans="28:29">
      <c r="AB617" s="100"/>
      <c r="AC617" s="100"/>
    </row>
    <row r="618" spans="28:29">
      <c r="AB618" s="100"/>
      <c r="AC618" s="100"/>
    </row>
    <row r="619" spans="28:29">
      <c r="AB619" s="100"/>
      <c r="AC619" s="100"/>
    </row>
    <row r="620" spans="28:29">
      <c r="AB620" s="100"/>
      <c r="AC620" s="100"/>
    </row>
    <row r="621" spans="28:29">
      <c r="AB621" s="100"/>
      <c r="AC621" s="100"/>
    </row>
    <row r="622" spans="28:29">
      <c r="AB622" s="100"/>
      <c r="AC622" s="100"/>
    </row>
    <row r="623" spans="28:29">
      <c r="AB623" s="100"/>
      <c r="AC623" s="100"/>
    </row>
    <row r="624" spans="28:29">
      <c r="AB624" s="100"/>
      <c r="AC624" s="100"/>
    </row>
    <row r="625" spans="28:29">
      <c r="AB625" s="100"/>
      <c r="AC625" s="100"/>
    </row>
    <row r="626" spans="28:29">
      <c r="AB626" s="100"/>
      <c r="AC626" s="100"/>
    </row>
    <row r="627" spans="28:29">
      <c r="AB627" s="100"/>
      <c r="AC627" s="100"/>
    </row>
    <row r="628" spans="28:29">
      <c r="AB628" s="100"/>
      <c r="AC628" s="100"/>
    </row>
    <row r="629" spans="28:29">
      <c r="AB629" s="100"/>
      <c r="AC629" s="100"/>
    </row>
    <row r="630" spans="28:29">
      <c r="AB630" s="100"/>
      <c r="AC630" s="100"/>
    </row>
    <row r="631" spans="28:29">
      <c r="AB631" s="100"/>
      <c r="AC631" s="100"/>
    </row>
    <row r="632" spans="28:29">
      <c r="AB632" s="100"/>
      <c r="AC632" s="100"/>
    </row>
    <row r="633" spans="28:29">
      <c r="AB633" s="100"/>
      <c r="AC633" s="100"/>
    </row>
    <row r="634" spans="28:29">
      <c r="AB634" s="100"/>
      <c r="AC634" s="100"/>
    </row>
    <row r="635" spans="28:29">
      <c r="AB635" s="100"/>
      <c r="AC635" s="100"/>
    </row>
    <row r="636" spans="28:29">
      <c r="AB636" s="100"/>
      <c r="AC636" s="100"/>
    </row>
    <row r="637" spans="28:29">
      <c r="AB637" s="100"/>
      <c r="AC637" s="100"/>
    </row>
    <row r="638" spans="28:29">
      <c r="AB638" s="100"/>
      <c r="AC638" s="100"/>
    </row>
    <row r="639" spans="28:29">
      <c r="AB639" s="100"/>
      <c r="AC639" s="100"/>
    </row>
    <row r="640" spans="28:29">
      <c r="AB640" s="100"/>
      <c r="AC640" s="100"/>
    </row>
    <row r="641" spans="28:29">
      <c r="AB641" s="100"/>
      <c r="AC641" s="100"/>
    </row>
    <row r="642" spans="28:29">
      <c r="AB642" s="100"/>
      <c r="AC642" s="100"/>
    </row>
    <row r="643" spans="28:29">
      <c r="AB643" s="100"/>
      <c r="AC643" s="100"/>
    </row>
    <row r="644" spans="28:29">
      <c r="AB644" s="100"/>
      <c r="AC644" s="100"/>
    </row>
    <row r="645" spans="28:29">
      <c r="AB645" s="100"/>
      <c r="AC645" s="100"/>
    </row>
    <row r="646" spans="28:29">
      <c r="AB646" s="100"/>
      <c r="AC646" s="100"/>
    </row>
    <row r="647" spans="28:29">
      <c r="AB647" s="100"/>
      <c r="AC647" s="100"/>
    </row>
    <row r="648" spans="28:29">
      <c r="AB648" s="100"/>
      <c r="AC648" s="100"/>
    </row>
    <row r="649" spans="28:29">
      <c r="AB649" s="100"/>
      <c r="AC649" s="100"/>
    </row>
    <row r="650" spans="28:29">
      <c r="AB650" s="100"/>
      <c r="AC650" s="100"/>
    </row>
    <row r="651" spans="28:29">
      <c r="AB651" s="100"/>
      <c r="AC651" s="100"/>
    </row>
    <row r="652" spans="28:29">
      <c r="AB652" s="100"/>
      <c r="AC652" s="100"/>
    </row>
    <row r="653" spans="28:29">
      <c r="AB653" s="100"/>
      <c r="AC653" s="100"/>
    </row>
    <row r="654" spans="28:29">
      <c r="AB654" s="100"/>
      <c r="AC654" s="100"/>
    </row>
    <row r="655" spans="28:29">
      <c r="AB655" s="100"/>
      <c r="AC655" s="100"/>
    </row>
    <row r="656" spans="28:29">
      <c r="AB656" s="100"/>
      <c r="AC656" s="100"/>
    </row>
    <row r="657" spans="28:29">
      <c r="AB657" s="100"/>
      <c r="AC657" s="100"/>
    </row>
    <row r="658" spans="28:29">
      <c r="AB658" s="100"/>
      <c r="AC658" s="100"/>
    </row>
    <row r="659" spans="28:29">
      <c r="AB659" s="100"/>
      <c r="AC659" s="100"/>
    </row>
    <row r="660" spans="28:29">
      <c r="AB660" s="100"/>
      <c r="AC660" s="100"/>
    </row>
    <row r="661" spans="28:29">
      <c r="AB661" s="100"/>
      <c r="AC661" s="100"/>
    </row>
    <row r="662" spans="28:29">
      <c r="AB662" s="100"/>
      <c r="AC662" s="100"/>
    </row>
    <row r="663" spans="28:29">
      <c r="AB663" s="100"/>
      <c r="AC663" s="100"/>
    </row>
    <row r="664" spans="28:29">
      <c r="AB664" s="100"/>
      <c r="AC664" s="100"/>
    </row>
    <row r="665" spans="28:29">
      <c r="AB665" s="100"/>
      <c r="AC665" s="100"/>
    </row>
    <row r="666" spans="28:29">
      <c r="AB666" s="100"/>
      <c r="AC666" s="100"/>
    </row>
    <row r="667" spans="28:29">
      <c r="AB667" s="100"/>
      <c r="AC667" s="100"/>
    </row>
    <row r="668" spans="28:29">
      <c r="AB668" s="100"/>
      <c r="AC668" s="100"/>
    </row>
    <row r="669" spans="28:29">
      <c r="AB669" s="100"/>
      <c r="AC669" s="100"/>
    </row>
    <row r="670" spans="28:29">
      <c r="AB670" s="100"/>
      <c r="AC670" s="100"/>
    </row>
    <row r="671" spans="28:29">
      <c r="AB671" s="100"/>
      <c r="AC671" s="100"/>
    </row>
    <row r="672" spans="28:29">
      <c r="AB672" s="100"/>
      <c r="AC672" s="100"/>
    </row>
    <row r="673" spans="28:29">
      <c r="AB673" s="100"/>
      <c r="AC673" s="100"/>
    </row>
    <row r="674" spans="28:29">
      <c r="AB674" s="100"/>
      <c r="AC674" s="100"/>
    </row>
    <row r="675" spans="28:29">
      <c r="AB675" s="100"/>
      <c r="AC675" s="100"/>
    </row>
    <row r="676" spans="28:29">
      <c r="AB676" s="100"/>
      <c r="AC676" s="100"/>
    </row>
    <row r="677" spans="28:29">
      <c r="AB677" s="100"/>
      <c r="AC677" s="100"/>
    </row>
    <row r="678" spans="28:29">
      <c r="AB678" s="100"/>
      <c r="AC678" s="100"/>
    </row>
    <row r="679" spans="28:29">
      <c r="AB679" s="100"/>
      <c r="AC679" s="100"/>
    </row>
    <row r="680" spans="28:29">
      <c r="AB680" s="100"/>
      <c r="AC680" s="100"/>
    </row>
    <row r="681" spans="28:29">
      <c r="AB681" s="100"/>
      <c r="AC681" s="100"/>
    </row>
    <row r="682" spans="28:29">
      <c r="AB682" s="100"/>
      <c r="AC682" s="100"/>
    </row>
    <row r="683" spans="28:29">
      <c r="AB683" s="100"/>
      <c r="AC683" s="100"/>
    </row>
    <row r="684" spans="28:29">
      <c r="AB684" s="100"/>
      <c r="AC684" s="100"/>
    </row>
    <row r="685" spans="28:29">
      <c r="AB685" s="100"/>
      <c r="AC685" s="100"/>
    </row>
    <row r="686" spans="28:29">
      <c r="AB686" s="100"/>
      <c r="AC686" s="100"/>
    </row>
    <row r="687" spans="28:29">
      <c r="AB687" s="100"/>
      <c r="AC687" s="100"/>
    </row>
    <row r="688" spans="28:29">
      <c r="AB688" s="100"/>
      <c r="AC688" s="100"/>
    </row>
    <row r="689" spans="28:29">
      <c r="AB689" s="100"/>
      <c r="AC689" s="100"/>
    </row>
    <row r="690" spans="28:29">
      <c r="AB690" s="100"/>
      <c r="AC690" s="100"/>
    </row>
    <row r="691" spans="28:29">
      <c r="AB691" s="100"/>
      <c r="AC691" s="100"/>
    </row>
    <row r="692" spans="28:29">
      <c r="AB692" s="100"/>
      <c r="AC692" s="100"/>
    </row>
    <row r="693" spans="28:29">
      <c r="AB693" s="100"/>
      <c r="AC693" s="100"/>
    </row>
    <row r="694" spans="28:29">
      <c r="AB694" s="100"/>
      <c r="AC694" s="100"/>
    </row>
    <row r="695" spans="28:29">
      <c r="AB695" s="100"/>
      <c r="AC695" s="100"/>
    </row>
    <row r="696" spans="28:29">
      <c r="AB696" s="100"/>
      <c r="AC696" s="100"/>
    </row>
    <row r="697" spans="28:29">
      <c r="AB697" s="100"/>
      <c r="AC697" s="100"/>
    </row>
    <row r="698" spans="28:29">
      <c r="AB698" s="100"/>
      <c r="AC698" s="100"/>
    </row>
    <row r="699" spans="28:29">
      <c r="AB699" s="100"/>
      <c r="AC699" s="100"/>
    </row>
    <row r="700" spans="28:29">
      <c r="AB700" s="100"/>
      <c r="AC700" s="100"/>
    </row>
    <row r="701" spans="28:29">
      <c r="AB701" s="100"/>
      <c r="AC701" s="100"/>
    </row>
    <row r="702" spans="28:29">
      <c r="AB702" s="100"/>
      <c r="AC702" s="100"/>
    </row>
    <row r="703" spans="28:29">
      <c r="AB703" s="100"/>
      <c r="AC703" s="100"/>
    </row>
    <row r="704" spans="28:29">
      <c r="AB704" s="100"/>
      <c r="AC704" s="100"/>
    </row>
    <row r="705" spans="28:29">
      <c r="AB705" s="100"/>
      <c r="AC705" s="100"/>
    </row>
    <row r="706" spans="28:29">
      <c r="AB706" s="100"/>
      <c r="AC706" s="100"/>
    </row>
    <row r="707" spans="28:29">
      <c r="AB707" s="100"/>
      <c r="AC707" s="100"/>
    </row>
    <row r="708" spans="28:29">
      <c r="AB708" s="100"/>
      <c r="AC708" s="100"/>
    </row>
    <row r="709" spans="28:29">
      <c r="AB709" s="100"/>
      <c r="AC709" s="100"/>
    </row>
    <row r="710" spans="28:29">
      <c r="AB710" s="100"/>
      <c r="AC710" s="100"/>
    </row>
    <row r="711" spans="28:29">
      <c r="AB711" s="100"/>
      <c r="AC711" s="100"/>
    </row>
    <row r="712" spans="28:29">
      <c r="AB712" s="100"/>
      <c r="AC712" s="100"/>
    </row>
    <row r="713" spans="28:29">
      <c r="AB713" s="100"/>
      <c r="AC713" s="100"/>
    </row>
    <row r="714" spans="28:29">
      <c r="AB714" s="100"/>
      <c r="AC714" s="100"/>
    </row>
    <row r="715" spans="28:29">
      <c r="AB715" s="100"/>
      <c r="AC715" s="100"/>
    </row>
    <row r="716" spans="28:29">
      <c r="AB716" s="100"/>
      <c r="AC716" s="100"/>
    </row>
    <row r="717" spans="28:29">
      <c r="AB717" s="100"/>
      <c r="AC717" s="100"/>
    </row>
    <row r="718" spans="28:29">
      <c r="AB718" s="100"/>
      <c r="AC718" s="100"/>
    </row>
    <row r="719" spans="28:29">
      <c r="AB719" s="100"/>
      <c r="AC719" s="100"/>
    </row>
    <row r="720" spans="28:29">
      <c r="AB720" s="100"/>
      <c r="AC720" s="100"/>
    </row>
    <row r="721" spans="28:29">
      <c r="AB721" s="100"/>
      <c r="AC721" s="100"/>
    </row>
    <row r="722" spans="28:29">
      <c r="AB722" s="100"/>
      <c r="AC722" s="100"/>
    </row>
    <row r="723" spans="28:29">
      <c r="AB723" s="100"/>
      <c r="AC723" s="100"/>
    </row>
    <row r="724" spans="28:29">
      <c r="AB724" s="100"/>
      <c r="AC724" s="100"/>
    </row>
    <row r="725" spans="28:29">
      <c r="AB725" s="100"/>
      <c r="AC725" s="100"/>
    </row>
    <row r="726" spans="28:29">
      <c r="AB726" s="100"/>
      <c r="AC726" s="100"/>
    </row>
    <row r="727" spans="28:29">
      <c r="AB727" s="100"/>
      <c r="AC727" s="100"/>
    </row>
    <row r="728" spans="28:29">
      <c r="AB728" s="100"/>
      <c r="AC728" s="100"/>
    </row>
    <row r="729" spans="28:29">
      <c r="AB729" s="100"/>
      <c r="AC729" s="100"/>
    </row>
    <row r="730" spans="28:29">
      <c r="AB730" s="100"/>
      <c r="AC730" s="100"/>
    </row>
    <row r="731" spans="28:29">
      <c r="AB731" s="100"/>
      <c r="AC731" s="100"/>
    </row>
    <row r="732" spans="28:29">
      <c r="AB732" s="100"/>
      <c r="AC732" s="100"/>
    </row>
    <row r="733" spans="28:29">
      <c r="AB733" s="100"/>
      <c r="AC733" s="100"/>
    </row>
    <row r="734" spans="28:29">
      <c r="AB734" s="100"/>
      <c r="AC734" s="100"/>
    </row>
    <row r="735" spans="28:29">
      <c r="AB735" s="100"/>
      <c r="AC735" s="100"/>
    </row>
    <row r="736" spans="28:29">
      <c r="AB736" s="100"/>
      <c r="AC736" s="100"/>
    </row>
    <row r="737" spans="28:29">
      <c r="AB737" s="100"/>
      <c r="AC737" s="100"/>
    </row>
    <row r="738" spans="28:29">
      <c r="AB738" s="100"/>
      <c r="AC738" s="100"/>
    </row>
    <row r="739" spans="28:29">
      <c r="AB739" s="100"/>
      <c r="AC739" s="100"/>
    </row>
    <row r="740" spans="28:29">
      <c r="AB740" s="100"/>
      <c r="AC740" s="100"/>
    </row>
    <row r="741" spans="28:29">
      <c r="AB741" s="100"/>
      <c r="AC741" s="100"/>
    </row>
    <row r="742" spans="28:29">
      <c r="AB742" s="100"/>
      <c r="AC742" s="100"/>
    </row>
    <row r="743" spans="28:29">
      <c r="AB743" s="100"/>
      <c r="AC743" s="100"/>
    </row>
    <row r="744" spans="28:29">
      <c r="AB744" s="100"/>
      <c r="AC744" s="100"/>
    </row>
    <row r="745" spans="28:29">
      <c r="AB745" s="100"/>
      <c r="AC745" s="100"/>
    </row>
    <row r="746" spans="28:29">
      <c r="AB746" s="100"/>
      <c r="AC746" s="100"/>
    </row>
    <row r="747" spans="28:29">
      <c r="AB747" s="100"/>
      <c r="AC747" s="100"/>
    </row>
    <row r="748" spans="28:29">
      <c r="AB748" s="100"/>
      <c r="AC748" s="100"/>
    </row>
    <row r="749" spans="28:29">
      <c r="AB749" s="100"/>
      <c r="AC749" s="100"/>
    </row>
    <row r="750" spans="28:29">
      <c r="AB750" s="100"/>
      <c r="AC750" s="100"/>
    </row>
    <row r="751" spans="28:29">
      <c r="AB751" s="100"/>
      <c r="AC751" s="100"/>
    </row>
    <row r="752" spans="28:29">
      <c r="AB752" s="100"/>
      <c r="AC752" s="100"/>
    </row>
    <row r="753" spans="28:29">
      <c r="AB753" s="100"/>
      <c r="AC753" s="100"/>
    </row>
    <row r="754" spans="28:29">
      <c r="AB754" s="100"/>
      <c r="AC754" s="100"/>
    </row>
    <row r="755" spans="28:29">
      <c r="AB755" s="100"/>
      <c r="AC755" s="100"/>
    </row>
    <row r="756" spans="28:29">
      <c r="AB756" s="100"/>
      <c r="AC756" s="100"/>
    </row>
    <row r="757" spans="28:29">
      <c r="AB757" s="100"/>
      <c r="AC757" s="100"/>
    </row>
    <row r="758" spans="28:29">
      <c r="AB758" s="100"/>
      <c r="AC758" s="100"/>
    </row>
    <row r="759" spans="28:29">
      <c r="AB759" s="100"/>
      <c r="AC759" s="100"/>
    </row>
    <row r="760" spans="28:29">
      <c r="AB760" s="100"/>
      <c r="AC760" s="100"/>
    </row>
    <row r="761" spans="28:29">
      <c r="AB761" s="100"/>
      <c r="AC761" s="100"/>
    </row>
    <row r="762" spans="28:29">
      <c r="AB762" s="100"/>
      <c r="AC762" s="100"/>
    </row>
    <row r="763" spans="28:29">
      <c r="AB763" s="100"/>
      <c r="AC763" s="100"/>
    </row>
    <row r="764" spans="28:29">
      <c r="AB764" s="100"/>
      <c r="AC764" s="100"/>
    </row>
    <row r="765" spans="28:29">
      <c r="AB765" s="100"/>
      <c r="AC765" s="100"/>
    </row>
    <row r="766" spans="28:29">
      <c r="AB766" s="100"/>
      <c r="AC766" s="100"/>
    </row>
    <row r="767" spans="28:29">
      <c r="AB767" s="100"/>
      <c r="AC767" s="100"/>
    </row>
    <row r="768" spans="28:29">
      <c r="AB768" s="100"/>
      <c r="AC768" s="100"/>
    </row>
    <row r="769" spans="28:29">
      <c r="AB769" s="100"/>
      <c r="AC769" s="100"/>
    </row>
    <row r="770" spans="28:29">
      <c r="AB770" s="100"/>
      <c r="AC770" s="100"/>
    </row>
    <row r="771" spans="28:29">
      <c r="AB771" s="100"/>
      <c r="AC771" s="100"/>
    </row>
    <row r="772" spans="28:29">
      <c r="AB772" s="100"/>
      <c r="AC772" s="100"/>
    </row>
    <row r="773" spans="28:29">
      <c r="AB773" s="100"/>
      <c r="AC773" s="100"/>
    </row>
    <row r="774" spans="28:29">
      <c r="AB774" s="100"/>
      <c r="AC774" s="100"/>
    </row>
    <row r="775" spans="28:29">
      <c r="AB775" s="100"/>
      <c r="AC775" s="100"/>
    </row>
    <row r="776" spans="28:29">
      <c r="AB776" s="100"/>
      <c r="AC776" s="100"/>
    </row>
    <row r="777" spans="28:29">
      <c r="AB777" s="100"/>
      <c r="AC777" s="100"/>
    </row>
    <row r="778" spans="28:29">
      <c r="AB778" s="100"/>
      <c r="AC778" s="100"/>
    </row>
    <row r="779" spans="28:29">
      <c r="AB779" s="100"/>
      <c r="AC779" s="100"/>
    </row>
    <row r="780" spans="28:29">
      <c r="AB780" s="100"/>
      <c r="AC780" s="100"/>
    </row>
    <row r="781" spans="28:29">
      <c r="AB781" s="100"/>
      <c r="AC781" s="100"/>
    </row>
    <row r="782" spans="28:29">
      <c r="AB782" s="100"/>
      <c r="AC782" s="100"/>
    </row>
    <row r="783" spans="28:29">
      <c r="AB783" s="100"/>
      <c r="AC783" s="100"/>
    </row>
    <row r="784" spans="28:29">
      <c r="AB784" s="100"/>
      <c r="AC784" s="100"/>
    </row>
    <row r="785" spans="28:29">
      <c r="AB785" s="100"/>
      <c r="AC785" s="100"/>
    </row>
    <row r="786" spans="28:29">
      <c r="AB786" s="100"/>
      <c r="AC786" s="100"/>
    </row>
    <row r="787" spans="28:29">
      <c r="AB787" s="100"/>
      <c r="AC787" s="100"/>
    </row>
    <row r="788" spans="28:29">
      <c r="AB788" s="100"/>
      <c r="AC788" s="100"/>
    </row>
    <row r="789" spans="28:29">
      <c r="AB789" s="100"/>
      <c r="AC789" s="100"/>
    </row>
    <row r="790" spans="28:29">
      <c r="AB790" s="100"/>
      <c r="AC790" s="100"/>
    </row>
    <row r="791" spans="28:29">
      <c r="AB791" s="100"/>
      <c r="AC791" s="100"/>
    </row>
    <row r="792" spans="28:29">
      <c r="AB792" s="100"/>
      <c r="AC792" s="100"/>
    </row>
    <row r="793" spans="28:29">
      <c r="AB793" s="100"/>
      <c r="AC793" s="100"/>
    </row>
    <row r="794" spans="28:29">
      <c r="AB794" s="100"/>
      <c r="AC794" s="100"/>
    </row>
    <row r="795" spans="28:29">
      <c r="AB795" s="100"/>
      <c r="AC795" s="100"/>
    </row>
    <row r="796" spans="28:29">
      <c r="AB796" s="100"/>
      <c r="AC796" s="100"/>
    </row>
    <row r="797" spans="28:29">
      <c r="AB797" s="100"/>
      <c r="AC797" s="100"/>
    </row>
    <row r="798" spans="28:29">
      <c r="AB798" s="100"/>
      <c r="AC798" s="100"/>
    </row>
    <row r="799" spans="28:29">
      <c r="AB799" s="100"/>
      <c r="AC799" s="100"/>
    </row>
    <row r="800" spans="28:29">
      <c r="AB800" s="100"/>
      <c r="AC800" s="100"/>
    </row>
    <row r="801" spans="28:29">
      <c r="AB801" s="100"/>
      <c r="AC801" s="100"/>
    </row>
    <row r="802" spans="28:29">
      <c r="AB802" s="100"/>
      <c r="AC802" s="100"/>
    </row>
    <row r="803" spans="28:29">
      <c r="AB803" s="100"/>
      <c r="AC803" s="100"/>
    </row>
    <row r="804" spans="28:29">
      <c r="AB804" s="100"/>
      <c r="AC804" s="100"/>
    </row>
    <row r="805" spans="28:29">
      <c r="AB805" s="100"/>
      <c r="AC805" s="100"/>
    </row>
    <row r="806" spans="28:29">
      <c r="AB806" s="100"/>
      <c r="AC806" s="100"/>
    </row>
    <row r="807" spans="28:29">
      <c r="AB807" s="100"/>
      <c r="AC807" s="100"/>
    </row>
    <row r="808" spans="28:29">
      <c r="AB808" s="100"/>
      <c r="AC808" s="100"/>
    </row>
    <row r="809" spans="28:29">
      <c r="AB809" s="100"/>
      <c r="AC809" s="100"/>
    </row>
    <row r="810" spans="28:29">
      <c r="AB810" s="100"/>
      <c r="AC810" s="100"/>
    </row>
    <row r="811" spans="28:29">
      <c r="AB811" s="100"/>
      <c r="AC811" s="100"/>
    </row>
    <row r="812" spans="28:29">
      <c r="AB812" s="100"/>
      <c r="AC812" s="100"/>
    </row>
    <row r="813" spans="28:29">
      <c r="AB813" s="100"/>
      <c r="AC813" s="100"/>
    </row>
    <row r="814" spans="28:29">
      <c r="AB814" s="100"/>
      <c r="AC814" s="100"/>
    </row>
    <row r="815" spans="28:29">
      <c r="AB815" s="100"/>
      <c r="AC815" s="100"/>
    </row>
    <row r="816" spans="28:29">
      <c r="AB816" s="100"/>
      <c r="AC816" s="100"/>
    </row>
    <row r="817" spans="28:29">
      <c r="AB817" s="100"/>
      <c r="AC817" s="100"/>
    </row>
    <row r="818" spans="28:29">
      <c r="AB818" s="100"/>
      <c r="AC818" s="100"/>
    </row>
    <row r="819" spans="28:29">
      <c r="AB819" s="100"/>
      <c r="AC819" s="100"/>
    </row>
    <row r="820" spans="28:29">
      <c r="AB820" s="100"/>
      <c r="AC820" s="100"/>
    </row>
    <row r="821" spans="28:29">
      <c r="AB821" s="100"/>
      <c r="AC821" s="100"/>
    </row>
    <row r="822" spans="28:29">
      <c r="AB822" s="100"/>
      <c r="AC822" s="100"/>
    </row>
    <row r="823" spans="28:29">
      <c r="AB823" s="100"/>
      <c r="AC823" s="100"/>
    </row>
    <row r="824" spans="28:29">
      <c r="AB824" s="100"/>
      <c r="AC824" s="100"/>
    </row>
    <row r="825" spans="28:29">
      <c r="AB825" s="100"/>
      <c r="AC825" s="100"/>
    </row>
    <row r="826" spans="28:29">
      <c r="AB826" s="100"/>
      <c r="AC826" s="100"/>
    </row>
    <row r="827" spans="28:29">
      <c r="AB827" s="100"/>
      <c r="AC827" s="100"/>
    </row>
    <row r="828" spans="28:29">
      <c r="AB828" s="100"/>
      <c r="AC828" s="100"/>
    </row>
    <row r="829" spans="28:29">
      <c r="AB829" s="100"/>
      <c r="AC829" s="100"/>
    </row>
    <row r="830" spans="28:29">
      <c r="AB830" s="100"/>
      <c r="AC830" s="100"/>
    </row>
    <row r="831" spans="28:29">
      <c r="AB831" s="100"/>
      <c r="AC831" s="100"/>
    </row>
    <row r="832" spans="28:29">
      <c r="AB832" s="100"/>
      <c r="AC832" s="100"/>
    </row>
    <row r="833" spans="28:29">
      <c r="AB833" s="100"/>
      <c r="AC833" s="100"/>
    </row>
    <row r="834" spans="28:29">
      <c r="AB834" s="100"/>
      <c r="AC834" s="100"/>
    </row>
    <row r="835" spans="28:29">
      <c r="AB835" s="100"/>
      <c r="AC835" s="100"/>
    </row>
    <row r="836" spans="28:29">
      <c r="AB836" s="100"/>
      <c r="AC836" s="100"/>
    </row>
    <row r="837" spans="28:29">
      <c r="AB837" s="100"/>
      <c r="AC837" s="100"/>
    </row>
    <row r="838" spans="28:29">
      <c r="AB838" s="100"/>
      <c r="AC838" s="100"/>
    </row>
    <row r="839" spans="28:29">
      <c r="AB839" s="100"/>
      <c r="AC839" s="100"/>
    </row>
    <row r="840" spans="28:29">
      <c r="AB840" s="100"/>
      <c r="AC840" s="100"/>
    </row>
    <row r="841" spans="28:29">
      <c r="AB841" s="100"/>
      <c r="AC841" s="100"/>
    </row>
    <row r="842" spans="28:29">
      <c r="AB842" s="100"/>
      <c r="AC842" s="100"/>
    </row>
    <row r="843" spans="28:29">
      <c r="AB843" s="100"/>
      <c r="AC843" s="100"/>
    </row>
    <row r="844" spans="28:29">
      <c r="AB844" s="100"/>
      <c r="AC844" s="100"/>
    </row>
    <row r="845" spans="28:29">
      <c r="AB845" s="100"/>
      <c r="AC845" s="100"/>
    </row>
    <row r="846" spans="28:29">
      <c r="AB846" s="100"/>
      <c r="AC846" s="100"/>
    </row>
    <row r="847" spans="28:29">
      <c r="AB847" s="100"/>
      <c r="AC847" s="100"/>
    </row>
    <row r="848" spans="28:29">
      <c r="AB848" s="100"/>
      <c r="AC848" s="100"/>
    </row>
    <row r="849" spans="28:29">
      <c r="AB849" s="100"/>
      <c r="AC849" s="100"/>
    </row>
    <row r="850" spans="28:29">
      <c r="AB850" s="100"/>
      <c r="AC850" s="100"/>
    </row>
    <row r="851" spans="28:29">
      <c r="AB851" s="100"/>
      <c r="AC851" s="100"/>
    </row>
    <row r="852" spans="28:29">
      <c r="AB852" s="100"/>
      <c r="AC852" s="100"/>
    </row>
    <row r="853" spans="28:29">
      <c r="AB853" s="100"/>
      <c r="AC853" s="100"/>
    </row>
    <row r="854" spans="28:29">
      <c r="AB854" s="100"/>
      <c r="AC854" s="100"/>
    </row>
    <row r="855" spans="28:29">
      <c r="AB855" s="100"/>
      <c r="AC855" s="100"/>
    </row>
    <row r="856" spans="28:29">
      <c r="AB856" s="100"/>
      <c r="AC856" s="100"/>
    </row>
    <row r="857" spans="28:29">
      <c r="AB857" s="100"/>
      <c r="AC857" s="100"/>
    </row>
    <row r="858" spans="28:29">
      <c r="AB858" s="100"/>
      <c r="AC858" s="100"/>
    </row>
    <row r="859" spans="28:29">
      <c r="AB859" s="100"/>
      <c r="AC859" s="100"/>
    </row>
    <row r="860" spans="28:29">
      <c r="AB860" s="100"/>
      <c r="AC860" s="100"/>
    </row>
    <row r="861" spans="28:29">
      <c r="AB861" s="100"/>
      <c r="AC861" s="100"/>
    </row>
    <row r="862" spans="28:29">
      <c r="AB862" s="100"/>
      <c r="AC862" s="100"/>
    </row>
    <row r="863" spans="28:29">
      <c r="AB863" s="100"/>
      <c r="AC863" s="100"/>
    </row>
    <row r="864" spans="28:29">
      <c r="AB864" s="100"/>
      <c r="AC864" s="100"/>
    </row>
    <row r="865" spans="28:29">
      <c r="AB865" s="100"/>
      <c r="AC865" s="100"/>
    </row>
    <row r="866" spans="28:29">
      <c r="AB866" s="100"/>
      <c r="AC866" s="100"/>
    </row>
    <row r="867" spans="28:29">
      <c r="AB867" s="100"/>
      <c r="AC867" s="100"/>
    </row>
    <row r="868" spans="28:29">
      <c r="AB868" s="100"/>
      <c r="AC868" s="100"/>
    </row>
    <row r="869" spans="28:29">
      <c r="AB869" s="100"/>
      <c r="AC869" s="100"/>
    </row>
    <row r="870" spans="28:29">
      <c r="AB870" s="100"/>
      <c r="AC870" s="100"/>
    </row>
    <row r="871" spans="28:29">
      <c r="AB871" s="100"/>
      <c r="AC871" s="100"/>
    </row>
    <row r="872" spans="28:29">
      <c r="AB872" s="100"/>
      <c r="AC872" s="100"/>
    </row>
    <row r="873" spans="28:29">
      <c r="AB873" s="100"/>
      <c r="AC873" s="100"/>
    </row>
    <row r="874" spans="28:29">
      <c r="AB874" s="100"/>
      <c r="AC874" s="100"/>
    </row>
    <row r="875" spans="28:29">
      <c r="AB875" s="100"/>
      <c r="AC875" s="100"/>
    </row>
    <row r="876" spans="28:29">
      <c r="AB876" s="100"/>
      <c r="AC876" s="100"/>
    </row>
    <row r="877" spans="28:29">
      <c r="AB877" s="100"/>
      <c r="AC877" s="100"/>
    </row>
    <row r="878" spans="28:29">
      <c r="AB878" s="100"/>
      <c r="AC878" s="100"/>
    </row>
    <row r="879" spans="28:29">
      <c r="AB879" s="100"/>
      <c r="AC879" s="100"/>
    </row>
    <row r="880" spans="28:29">
      <c r="AB880" s="100"/>
      <c r="AC880" s="100"/>
    </row>
    <row r="881" spans="28:29">
      <c r="AB881" s="100"/>
      <c r="AC881" s="100"/>
    </row>
    <row r="882" spans="28:29">
      <c r="AB882" s="100"/>
      <c r="AC882" s="100"/>
    </row>
    <row r="883" spans="28:29">
      <c r="AB883" s="100"/>
      <c r="AC883" s="100"/>
    </row>
    <row r="884" spans="28:29">
      <c r="AB884" s="100"/>
      <c r="AC884" s="100"/>
    </row>
    <row r="885" spans="28:29">
      <c r="AB885" s="100"/>
      <c r="AC885" s="100"/>
    </row>
    <row r="886" spans="28:29">
      <c r="AB886" s="100"/>
      <c r="AC886" s="100"/>
    </row>
    <row r="887" spans="28:29">
      <c r="AB887" s="100"/>
      <c r="AC887" s="100"/>
    </row>
    <row r="888" spans="28:29">
      <c r="AB888" s="100"/>
      <c r="AC888" s="100"/>
    </row>
    <row r="889" spans="28:29">
      <c r="AB889" s="100"/>
      <c r="AC889" s="100"/>
    </row>
    <row r="890" spans="28:29">
      <c r="AB890" s="100"/>
      <c r="AC890" s="100"/>
    </row>
    <row r="891" spans="28:29">
      <c r="AB891" s="100"/>
      <c r="AC891" s="100"/>
    </row>
    <row r="892" spans="28:29">
      <c r="AB892" s="100"/>
      <c r="AC892" s="100"/>
    </row>
    <row r="893" spans="28:29">
      <c r="AB893" s="100"/>
      <c r="AC893" s="100"/>
    </row>
    <row r="894" spans="28:29">
      <c r="AB894" s="100"/>
      <c r="AC894" s="100"/>
    </row>
    <row r="895" spans="28:29">
      <c r="AB895" s="100"/>
      <c r="AC895" s="100"/>
    </row>
    <row r="896" spans="28:29">
      <c r="AB896" s="100"/>
      <c r="AC896" s="100"/>
    </row>
    <row r="897" spans="28:29">
      <c r="AB897" s="100"/>
      <c r="AC897" s="100"/>
    </row>
    <row r="898" spans="28:29">
      <c r="AB898" s="100"/>
      <c r="AC898" s="100"/>
    </row>
    <row r="899" spans="28:29">
      <c r="AB899" s="100"/>
      <c r="AC899" s="100"/>
    </row>
    <row r="900" spans="28:29">
      <c r="AB900" s="100"/>
      <c r="AC900" s="100"/>
    </row>
    <row r="901" spans="28:29">
      <c r="AB901" s="100"/>
      <c r="AC901" s="100"/>
    </row>
    <row r="902" spans="28:29">
      <c r="AB902" s="100"/>
      <c r="AC902" s="100"/>
    </row>
    <row r="903" spans="28:29">
      <c r="AB903" s="100"/>
      <c r="AC903" s="100"/>
    </row>
    <row r="904" spans="28:29">
      <c r="AB904" s="100"/>
      <c r="AC904" s="100"/>
    </row>
    <row r="905" spans="28:29">
      <c r="AB905" s="100"/>
      <c r="AC905" s="100"/>
    </row>
    <row r="906" spans="28:29">
      <c r="AB906" s="100"/>
      <c r="AC906" s="100"/>
    </row>
    <row r="907" spans="28:29">
      <c r="AB907" s="100"/>
      <c r="AC907" s="100"/>
    </row>
    <row r="908" spans="28:29">
      <c r="AB908" s="100"/>
      <c r="AC908" s="100"/>
    </row>
    <row r="909" spans="28:29">
      <c r="AB909" s="100"/>
      <c r="AC909" s="100"/>
    </row>
    <row r="910" spans="28:29">
      <c r="AB910" s="100"/>
      <c r="AC910" s="100"/>
    </row>
    <row r="911" spans="28:29">
      <c r="AB911" s="100"/>
      <c r="AC911" s="100"/>
    </row>
    <row r="912" spans="28:29">
      <c r="AB912" s="100"/>
      <c r="AC912" s="100"/>
    </row>
    <row r="913" spans="28:29">
      <c r="AB913" s="100"/>
      <c r="AC913" s="100"/>
    </row>
    <row r="914" spans="28:29">
      <c r="AB914" s="100"/>
      <c r="AC914" s="100"/>
    </row>
    <row r="915" spans="28:29">
      <c r="AB915" s="100"/>
      <c r="AC915" s="100"/>
    </row>
    <row r="916" spans="28:29">
      <c r="AB916" s="100"/>
      <c r="AC916" s="100"/>
    </row>
    <row r="917" spans="28:29">
      <c r="AB917" s="100"/>
      <c r="AC917" s="100"/>
    </row>
    <row r="918" spans="28:29">
      <c r="AB918" s="100"/>
      <c r="AC918" s="100"/>
    </row>
    <row r="919" spans="28:29">
      <c r="AB919" s="100"/>
      <c r="AC919" s="100"/>
    </row>
    <row r="920" spans="28:29">
      <c r="AB920" s="100"/>
      <c r="AC920" s="100"/>
    </row>
    <row r="921" spans="28:29">
      <c r="AB921" s="100"/>
      <c r="AC921" s="100"/>
    </row>
    <row r="922" spans="28:29">
      <c r="AB922" s="100"/>
      <c r="AC922" s="100"/>
    </row>
    <row r="923" spans="28:29">
      <c r="AB923" s="100"/>
      <c r="AC923" s="100"/>
    </row>
    <row r="924" spans="28:29">
      <c r="AB924" s="100"/>
      <c r="AC924" s="100"/>
    </row>
    <row r="925" spans="28:29">
      <c r="AB925" s="100"/>
      <c r="AC925" s="100"/>
    </row>
    <row r="926" spans="28:29">
      <c r="AB926" s="100"/>
      <c r="AC926" s="100"/>
    </row>
    <row r="927" spans="28:29">
      <c r="AB927" s="100"/>
      <c r="AC927" s="100"/>
    </row>
    <row r="928" spans="28:29">
      <c r="AB928" s="100"/>
      <c r="AC928" s="100"/>
    </row>
    <row r="929" spans="28:29">
      <c r="AB929" s="100"/>
      <c r="AC929" s="100"/>
    </row>
    <row r="930" spans="28:29">
      <c r="AB930" s="100"/>
      <c r="AC930" s="100"/>
    </row>
    <row r="931" spans="28:29">
      <c r="AB931" s="100"/>
      <c r="AC931" s="100"/>
    </row>
    <row r="932" spans="28:29">
      <c r="AB932" s="100"/>
      <c r="AC932" s="100"/>
    </row>
    <row r="933" spans="28:29">
      <c r="AB933" s="100"/>
      <c r="AC933" s="100"/>
    </row>
    <row r="934" spans="28:29">
      <c r="AB934" s="100"/>
      <c r="AC934" s="100"/>
    </row>
    <row r="935" spans="28:29">
      <c r="AB935" s="100"/>
      <c r="AC935" s="100"/>
    </row>
    <row r="936" spans="28:29">
      <c r="AB936" s="100"/>
      <c r="AC936" s="100"/>
    </row>
    <row r="937" spans="28:29">
      <c r="AB937" s="100"/>
      <c r="AC937" s="100"/>
    </row>
    <row r="938" spans="28:29">
      <c r="AB938" s="100"/>
      <c r="AC938" s="100"/>
    </row>
    <row r="939" spans="28:29">
      <c r="AB939" s="100"/>
      <c r="AC939" s="100"/>
    </row>
    <row r="940" spans="28:29">
      <c r="AB940" s="100"/>
      <c r="AC940" s="100"/>
    </row>
    <row r="941" spans="28:29">
      <c r="AB941" s="100"/>
      <c r="AC941" s="100"/>
    </row>
    <row r="942" spans="28:29">
      <c r="AB942" s="100"/>
      <c r="AC942" s="100"/>
    </row>
    <row r="943" spans="28:29">
      <c r="AB943" s="100"/>
      <c r="AC943" s="100"/>
    </row>
    <row r="944" spans="28:29">
      <c r="AB944" s="100"/>
      <c r="AC944" s="100"/>
    </row>
    <row r="945" spans="28:29">
      <c r="AB945" s="100"/>
      <c r="AC945" s="100"/>
    </row>
    <row r="946" spans="28:29">
      <c r="AB946" s="100"/>
      <c r="AC946" s="100"/>
    </row>
    <row r="947" spans="28:29">
      <c r="AB947" s="100"/>
      <c r="AC947" s="100"/>
    </row>
    <row r="948" spans="28:29">
      <c r="AB948" s="100"/>
      <c r="AC948" s="100"/>
    </row>
    <row r="949" spans="28:29">
      <c r="AB949" s="100"/>
      <c r="AC949" s="100"/>
    </row>
    <row r="950" spans="28:29">
      <c r="AB950" s="100"/>
      <c r="AC950" s="100"/>
    </row>
    <row r="951" spans="28:29">
      <c r="AB951" s="100"/>
      <c r="AC951" s="100"/>
    </row>
    <row r="952" spans="28:29">
      <c r="AB952" s="100"/>
      <c r="AC952" s="100"/>
    </row>
    <row r="953" spans="28:29">
      <c r="AB953" s="100"/>
      <c r="AC953" s="100"/>
    </row>
    <row r="954" spans="28:29">
      <c r="AB954" s="100"/>
      <c r="AC954" s="100"/>
    </row>
    <row r="955" spans="28:29">
      <c r="AB955" s="100"/>
      <c r="AC955" s="100"/>
    </row>
    <row r="956" spans="28:29">
      <c r="AB956" s="100"/>
      <c r="AC956" s="100"/>
    </row>
    <row r="957" spans="28:29">
      <c r="AB957" s="100"/>
      <c r="AC957" s="100"/>
    </row>
    <row r="958" spans="28:29">
      <c r="AB958" s="100"/>
      <c r="AC958" s="100"/>
    </row>
    <row r="959" spans="28:29">
      <c r="AB959" s="100"/>
      <c r="AC959" s="100"/>
    </row>
    <row r="960" spans="28:29">
      <c r="AB960" s="100"/>
      <c r="AC960" s="100"/>
    </row>
    <row r="961" spans="28:29">
      <c r="AB961" s="100"/>
      <c r="AC961" s="100"/>
    </row>
    <row r="962" spans="28:29">
      <c r="AB962" s="100"/>
      <c r="AC962" s="100"/>
    </row>
    <row r="963" spans="28:29">
      <c r="AB963" s="100"/>
      <c r="AC963" s="100"/>
    </row>
    <row r="964" spans="28:29">
      <c r="AB964" s="100"/>
      <c r="AC964" s="100"/>
    </row>
    <row r="965" spans="28:29">
      <c r="AB965" s="100"/>
      <c r="AC965" s="100"/>
    </row>
    <row r="966" spans="28:29">
      <c r="AB966" s="100"/>
      <c r="AC966" s="100"/>
    </row>
    <row r="967" spans="28:29">
      <c r="AB967" s="100"/>
      <c r="AC967" s="100"/>
    </row>
    <row r="968" spans="28:29">
      <c r="AB968" s="100"/>
      <c r="AC968" s="100"/>
    </row>
    <row r="969" spans="28:29">
      <c r="AB969" s="100"/>
      <c r="AC969" s="100"/>
    </row>
    <row r="970" spans="28:29">
      <c r="AB970" s="100"/>
      <c r="AC970" s="100"/>
    </row>
    <row r="971" spans="28:29">
      <c r="AB971" s="100"/>
      <c r="AC971" s="100"/>
    </row>
    <row r="972" spans="28:29">
      <c r="AB972" s="100"/>
      <c r="AC972" s="100"/>
    </row>
    <row r="973" spans="28:29">
      <c r="AB973" s="100"/>
      <c r="AC973" s="100"/>
    </row>
    <row r="974" spans="28:29">
      <c r="AB974" s="100"/>
      <c r="AC974" s="100"/>
    </row>
    <row r="975" spans="28:29">
      <c r="AB975" s="100"/>
      <c r="AC975" s="100"/>
    </row>
    <row r="976" spans="28:29">
      <c r="AB976" s="100"/>
      <c r="AC976" s="100"/>
    </row>
    <row r="977" spans="28:29">
      <c r="AB977" s="100"/>
      <c r="AC977" s="100"/>
    </row>
    <row r="978" spans="28:29">
      <c r="AB978" s="100"/>
      <c r="AC978" s="100"/>
    </row>
    <row r="979" spans="28:29">
      <c r="AB979" s="100"/>
      <c r="AC979" s="100"/>
    </row>
    <row r="980" spans="28:29">
      <c r="AB980" s="100"/>
      <c r="AC980" s="100"/>
    </row>
    <row r="981" spans="28:29">
      <c r="AB981" s="100"/>
      <c r="AC981" s="100"/>
    </row>
    <row r="982" spans="28:29">
      <c r="AB982" s="100"/>
      <c r="AC982" s="100"/>
    </row>
    <row r="983" spans="28:29">
      <c r="AB983" s="100"/>
      <c r="AC983" s="100"/>
    </row>
    <row r="984" spans="28:29">
      <c r="AB984" s="100"/>
      <c r="AC984" s="100"/>
    </row>
    <row r="985" spans="28:29">
      <c r="AB985" s="100"/>
      <c r="AC985" s="100"/>
    </row>
    <row r="986" spans="28:29">
      <c r="AB986" s="100"/>
      <c r="AC986" s="100"/>
    </row>
    <row r="987" spans="28:29">
      <c r="AB987" s="100"/>
      <c r="AC987" s="100"/>
    </row>
    <row r="988" spans="28:29">
      <c r="AB988" s="100"/>
      <c r="AC988" s="100"/>
    </row>
    <row r="989" spans="28:29">
      <c r="AB989" s="100"/>
      <c r="AC989" s="100"/>
    </row>
    <row r="990" spans="28:29">
      <c r="AB990" s="100"/>
      <c r="AC990" s="100"/>
    </row>
    <row r="991" spans="28:29">
      <c r="AB991" s="100"/>
      <c r="AC991" s="100"/>
    </row>
    <row r="992" spans="28:29">
      <c r="AB992" s="100"/>
      <c r="AC992" s="100"/>
    </row>
    <row r="993" spans="28:29">
      <c r="AB993" s="100"/>
      <c r="AC993" s="100"/>
    </row>
    <row r="994" spans="28:29">
      <c r="AB994" s="100"/>
      <c r="AC994" s="100"/>
    </row>
    <row r="995" spans="28:29">
      <c r="AB995" s="100"/>
      <c r="AC995" s="100"/>
    </row>
    <row r="996" spans="28:29">
      <c r="AB996" s="100"/>
      <c r="AC996" s="100"/>
    </row>
    <row r="997" spans="28:29">
      <c r="AB997" s="100"/>
      <c r="AC997" s="100"/>
    </row>
    <row r="998" spans="28:29">
      <c r="AB998" s="100"/>
      <c r="AC998" s="100"/>
    </row>
    <row r="999" spans="28:29">
      <c r="AB999" s="100"/>
      <c r="AC999" s="100"/>
    </row>
    <row r="1000" spans="28:29">
      <c r="AB1000" s="100"/>
      <c r="AC1000" s="100"/>
    </row>
    <row r="1001" spans="28:29">
      <c r="AB1001" s="100"/>
      <c r="AC1001" s="100"/>
    </row>
    <row r="1002" spans="28:29">
      <c r="AB1002" s="100"/>
      <c r="AC1002" s="100"/>
    </row>
    <row r="1003" spans="28:29">
      <c r="AB1003" s="100"/>
      <c r="AC1003" s="100"/>
    </row>
    <row r="1004" spans="28:29">
      <c r="AB1004" s="100"/>
      <c r="AC1004" s="100"/>
    </row>
    <row r="1005" spans="28:29">
      <c r="AB1005" s="100"/>
      <c r="AC1005" s="100"/>
    </row>
    <row r="1006" spans="28:29">
      <c r="AB1006" s="100"/>
      <c r="AC1006" s="100"/>
    </row>
    <row r="1007" spans="28:29">
      <c r="AB1007" s="100"/>
      <c r="AC1007" s="100"/>
    </row>
    <row r="1008" spans="28:29">
      <c r="AB1008" s="100"/>
      <c r="AC1008" s="100"/>
    </row>
    <row r="1009" spans="28:29">
      <c r="AB1009" s="100"/>
      <c r="AC1009" s="100"/>
    </row>
    <row r="1010" spans="28:29">
      <c r="AB1010" s="100"/>
      <c r="AC1010" s="100"/>
    </row>
    <row r="1011" spans="28:29">
      <c r="AB1011" s="100"/>
      <c r="AC1011" s="100"/>
    </row>
    <row r="1012" spans="28:29">
      <c r="AB1012" s="100"/>
      <c r="AC1012" s="100"/>
    </row>
    <row r="1013" spans="28:29">
      <c r="AB1013" s="100"/>
      <c r="AC1013" s="100"/>
    </row>
    <row r="1014" spans="28:29">
      <c r="AB1014" s="100"/>
      <c r="AC1014" s="100"/>
    </row>
    <row r="1015" spans="28:29">
      <c r="AB1015" s="100"/>
      <c r="AC1015" s="100"/>
    </row>
    <row r="1016" spans="28:29">
      <c r="AB1016" s="100"/>
      <c r="AC1016" s="100"/>
    </row>
    <row r="1017" spans="28:29">
      <c r="AB1017" s="100"/>
      <c r="AC1017" s="100"/>
    </row>
    <row r="1018" spans="28:29">
      <c r="AB1018" s="100"/>
      <c r="AC1018" s="100"/>
    </row>
    <row r="1019" spans="28:29">
      <c r="AB1019" s="100"/>
      <c r="AC1019" s="100"/>
    </row>
    <row r="1020" spans="28:29">
      <c r="AB1020" s="100"/>
      <c r="AC1020" s="100"/>
    </row>
    <row r="1021" spans="28:29">
      <c r="AB1021" s="100"/>
      <c r="AC1021" s="100"/>
    </row>
    <row r="1022" spans="28:29">
      <c r="AB1022" s="100"/>
      <c r="AC1022" s="100"/>
    </row>
    <row r="1023" spans="28:29">
      <c r="AB1023" s="100"/>
      <c r="AC1023" s="100"/>
    </row>
    <row r="1024" spans="28:29">
      <c r="AB1024" s="100"/>
      <c r="AC1024" s="100"/>
    </row>
    <row r="1025" spans="28:29">
      <c r="AB1025" s="100"/>
      <c r="AC1025" s="100"/>
    </row>
    <row r="1026" spans="28:29">
      <c r="AB1026" s="100"/>
      <c r="AC1026" s="100"/>
    </row>
    <row r="1027" spans="28:29">
      <c r="AB1027" s="100"/>
      <c r="AC1027" s="100"/>
    </row>
    <row r="1028" spans="28:29">
      <c r="AB1028" s="100"/>
      <c r="AC1028" s="100"/>
    </row>
    <row r="1029" spans="28:29">
      <c r="AB1029" s="100"/>
      <c r="AC1029" s="100"/>
    </row>
    <row r="1030" spans="28:29">
      <c r="AB1030" s="100"/>
      <c r="AC1030" s="100"/>
    </row>
    <row r="1031" spans="28:29">
      <c r="AB1031" s="100"/>
      <c r="AC1031" s="100"/>
    </row>
    <row r="1032" spans="28:29">
      <c r="AB1032" s="100"/>
      <c r="AC1032" s="100"/>
    </row>
    <row r="1033" spans="28:29">
      <c r="AB1033" s="100"/>
      <c r="AC1033" s="100"/>
    </row>
    <row r="1034" spans="28:29">
      <c r="AB1034" s="100"/>
      <c r="AC1034" s="100"/>
    </row>
    <row r="1035" spans="28:29">
      <c r="AB1035" s="100"/>
      <c r="AC1035" s="100"/>
    </row>
    <row r="1036" spans="28:29">
      <c r="AB1036" s="100"/>
      <c r="AC1036" s="100"/>
    </row>
    <row r="1037" spans="28:29">
      <c r="AB1037" s="100"/>
      <c r="AC1037" s="100"/>
    </row>
    <row r="1038" spans="28:29">
      <c r="AB1038" s="100"/>
      <c r="AC1038" s="100"/>
    </row>
    <row r="1039" spans="28:29">
      <c r="AB1039" s="100"/>
      <c r="AC1039" s="100"/>
    </row>
    <row r="1040" spans="28:29">
      <c r="AB1040" s="100"/>
      <c r="AC1040" s="100"/>
    </row>
    <row r="1041" spans="28:29">
      <c r="AB1041" s="100"/>
      <c r="AC1041" s="100"/>
    </row>
    <row r="1042" spans="28:29">
      <c r="AB1042" s="100"/>
      <c r="AC1042" s="100"/>
    </row>
    <row r="1043" spans="28:29">
      <c r="AB1043" s="100"/>
      <c r="AC1043" s="100"/>
    </row>
    <row r="1044" spans="28:29">
      <c r="AB1044" s="100"/>
      <c r="AC1044" s="100"/>
    </row>
    <row r="1045" spans="28:29">
      <c r="AB1045" s="100"/>
      <c r="AC1045" s="100"/>
    </row>
    <row r="1046" spans="28:29">
      <c r="AB1046" s="100"/>
      <c r="AC1046" s="100"/>
    </row>
    <row r="1047" spans="28:29">
      <c r="AB1047" s="100"/>
      <c r="AC1047" s="100"/>
    </row>
    <row r="1048" spans="28:29">
      <c r="AB1048" s="100"/>
      <c r="AC1048" s="100"/>
    </row>
    <row r="1049" spans="28:29">
      <c r="AB1049" s="100"/>
      <c r="AC1049" s="100"/>
    </row>
    <row r="1050" spans="28:29">
      <c r="AB1050" s="100"/>
      <c r="AC1050" s="100"/>
    </row>
    <row r="1051" spans="28:29">
      <c r="AB1051" s="100"/>
      <c r="AC1051" s="100"/>
    </row>
    <row r="1052" spans="28:29">
      <c r="AB1052" s="100"/>
      <c r="AC1052" s="100"/>
    </row>
    <row r="1053" spans="28:29">
      <c r="AB1053" s="100"/>
      <c r="AC1053" s="100"/>
    </row>
    <row r="1054" spans="28:29">
      <c r="AB1054" s="100"/>
      <c r="AC1054" s="100"/>
    </row>
    <row r="1055" spans="28:29">
      <c r="AB1055" s="100"/>
      <c r="AC1055" s="100"/>
    </row>
    <row r="1056" spans="28:29">
      <c r="AB1056" s="100"/>
      <c r="AC1056" s="100"/>
    </row>
    <row r="1057" spans="28:29">
      <c r="AB1057" s="100"/>
      <c r="AC1057" s="100"/>
    </row>
    <row r="1058" spans="28:29">
      <c r="AB1058" s="100"/>
      <c r="AC1058" s="100"/>
    </row>
    <row r="1059" spans="28:29">
      <c r="AB1059" s="100"/>
      <c r="AC1059" s="100"/>
    </row>
    <row r="1060" spans="28:29">
      <c r="AB1060" s="100"/>
      <c r="AC1060" s="100"/>
    </row>
    <row r="1061" spans="28:29">
      <c r="AB1061" s="100"/>
      <c r="AC1061" s="100"/>
    </row>
    <row r="1062" spans="28:29">
      <c r="AB1062" s="100"/>
      <c r="AC1062" s="100"/>
    </row>
    <row r="1063" spans="28:29">
      <c r="AB1063" s="100"/>
      <c r="AC1063" s="100"/>
    </row>
    <row r="1064" spans="28:29">
      <c r="AB1064" s="100"/>
      <c r="AC1064" s="100"/>
    </row>
    <row r="1065" spans="28:29">
      <c r="AB1065" s="100"/>
      <c r="AC1065" s="100"/>
    </row>
    <row r="1066" spans="28:29">
      <c r="AB1066" s="100"/>
      <c r="AC1066" s="100"/>
    </row>
    <row r="1067" spans="28:29">
      <c r="AB1067" s="100"/>
      <c r="AC1067" s="100"/>
    </row>
    <row r="1068" spans="28:29">
      <c r="AB1068" s="100"/>
      <c r="AC1068" s="100"/>
    </row>
    <row r="1069" spans="28:29">
      <c r="AB1069" s="100"/>
      <c r="AC1069" s="100"/>
    </row>
    <row r="1070" spans="28:29">
      <c r="AB1070" s="100"/>
      <c r="AC1070" s="100"/>
    </row>
    <row r="1071" spans="28:29">
      <c r="AB1071" s="100"/>
      <c r="AC1071" s="100"/>
    </row>
    <row r="1072" spans="28:29">
      <c r="AB1072" s="100"/>
      <c r="AC1072" s="100"/>
    </row>
    <row r="1073" spans="28:29">
      <c r="AB1073" s="100"/>
      <c r="AC1073" s="100"/>
    </row>
    <row r="1074" spans="28:29">
      <c r="AB1074" s="100"/>
      <c r="AC1074" s="100"/>
    </row>
    <row r="1075" spans="28:29">
      <c r="AB1075" s="100"/>
      <c r="AC1075" s="100"/>
    </row>
    <row r="1076" spans="28:29">
      <c r="AB1076" s="100"/>
      <c r="AC1076" s="100"/>
    </row>
    <row r="1077" spans="28:29">
      <c r="AB1077" s="100"/>
      <c r="AC1077" s="100"/>
    </row>
    <row r="1078" spans="28:29">
      <c r="AB1078" s="100"/>
      <c r="AC1078" s="100"/>
    </row>
    <row r="1079" spans="28:29">
      <c r="AB1079" s="100"/>
      <c r="AC1079" s="100"/>
    </row>
    <row r="1080" spans="28:29">
      <c r="AB1080" s="100"/>
      <c r="AC1080" s="100"/>
    </row>
    <row r="1081" spans="28:29">
      <c r="AB1081" s="100"/>
      <c r="AC1081" s="100"/>
    </row>
    <row r="1082" spans="28:29">
      <c r="AB1082" s="100"/>
      <c r="AC1082" s="100"/>
    </row>
    <row r="1083" spans="28:29">
      <c r="AB1083" s="100"/>
      <c r="AC1083" s="100"/>
    </row>
    <row r="1084" spans="28:29">
      <c r="AB1084" s="100"/>
      <c r="AC1084" s="100"/>
    </row>
    <row r="1085" spans="28:29">
      <c r="AB1085" s="100"/>
      <c r="AC1085" s="100"/>
    </row>
    <row r="1086" spans="28:29">
      <c r="AB1086" s="100"/>
      <c r="AC1086" s="100"/>
    </row>
    <row r="1087" spans="28:29">
      <c r="AB1087" s="100"/>
      <c r="AC1087" s="100"/>
    </row>
    <row r="1088" spans="28:29">
      <c r="AB1088" s="100"/>
      <c r="AC1088" s="100"/>
    </row>
    <row r="1089" spans="28:29">
      <c r="AB1089" s="100"/>
      <c r="AC1089" s="100"/>
    </row>
    <row r="1090" spans="28:29">
      <c r="AB1090" s="100"/>
      <c r="AC1090" s="100"/>
    </row>
    <row r="1091" spans="28:29">
      <c r="AB1091" s="100"/>
      <c r="AC1091" s="100"/>
    </row>
    <row r="1092" spans="28:29">
      <c r="AB1092" s="100"/>
      <c r="AC1092" s="100"/>
    </row>
    <row r="1093" spans="28:29">
      <c r="AB1093" s="100"/>
      <c r="AC1093" s="100"/>
    </row>
    <row r="1094" spans="28:29">
      <c r="AB1094" s="100"/>
      <c r="AC1094" s="100"/>
    </row>
    <row r="1095" spans="28:29">
      <c r="AB1095" s="100"/>
      <c r="AC1095" s="100"/>
    </row>
    <row r="1096" spans="28:29">
      <c r="AB1096" s="100"/>
      <c r="AC1096" s="100"/>
    </row>
    <row r="1097" spans="28:29">
      <c r="AB1097" s="100"/>
      <c r="AC1097" s="100"/>
    </row>
    <row r="1098" spans="28:29">
      <c r="AB1098" s="100"/>
      <c r="AC1098" s="100"/>
    </row>
    <row r="1099" spans="28:29">
      <c r="AB1099" s="100"/>
      <c r="AC1099" s="100"/>
    </row>
    <row r="1100" spans="28:29">
      <c r="AB1100" s="100"/>
      <c r="AC1100" s="100"/>
    </row>
    <row r="1101" spans="28:29">
      <c r="AB1101" s="100"/>
      <c r="AC1101" s="100"/>
    </row>
    <row r="1102" spans="28:29">
      <c r="AB1102" s="100"/>
      <c r="AC1102" s="100"/>
    </row>
    <row r="1103" spans="28:29">
      <c r="AB1103" s="100"/>
      <c r="AC1103" s="100"/>
    </row>
    <row r="1104" spans="28:29">
      <c r="AB1104" s="100"/>
      <c r="AC1104" s="100"/>
    </row>
    <row r="1105" spans="28:29">
      <c r="AB1105" s="100"/>
      <c r="AC1105" s="100"/>
    </row>
    <row r="1106" spans="28:29">
      <c r="AB1106" s="100"/>
      <c r="AC1106" s="100"/>
    </row>
    <row r="1107" spans="28:29">
      <c r="AB1107" s="100"/>
      <c r="AC1107" s="100"/>
    </row>
    <row r="1108" spans="28:29">
      <c r="AB1108" s="100"/>
      <c r="AC1108" s="100"/>
    </row>
    <row r="1109" spans="28:29">
      <c r="AB1109" s="100"/>
      <c r="AC1109" s="100"/>
    </row>
    <row r="1110" spans="28:29">
      <c r="AB1110" s="100"/>
      <c r="AC1110" s="100"/>
    </row>
    <row r="1111" spans="28:29">
      <c r="AB1111" s="100"/>
      <c r="AC1111" s="100"/>
    </row>
    <row r="1112" spans="28:29">
      <c r="AB1112" s="100"/>
      <c r="AC1112" s="100"/>
    </row>
    <row r="1113" spans="28:29">
      <c r="AB1113" s="100"/>
      <c r="AC1113" s="100"/>
    </row>
    <row r="1114" spans="28:29">
      <c r="AB1114" s="100"/>
      <c r="AC1114" s="100"/>
    </row>
    <row r="1115" spans="28:29">
      <c r="AB1115" s="100"/>
      <c r="AC1115" s="100"/>
    </row>
    <row r="1116" spans="28:29">
      <c r="AB1116" s="100"/>
      <c r="AC1116" s="100"/>
    </row>
    <row r="1117" spans="28:29">
      <c r="AB1117" s="100"/>
      <c r="AC1117" s="100"/>
    </row>
    <row r="1118" spans="28:29">
      <c r="AB1118" s="100"/>
      <c r="AC1118" s="100"/>
    </row>
    <row r="1119" spans="28:29">
      <c r="AB1119" s="100"/>
      <c r="AC1119" s="100"/>
    </row>
    <row r="1120" spans="28:29">
      <c r="AB1120" s="100"/>
      <c r="AC1120" s="100"/>
    </row>
    <row r="1121" spans="28:29">
      <c r="AB1121" s="100"/>
      <c r="AC1121" s="100"/>
    </row>
    <row r="1122" spans="28:29">
      <c r="AB1122" s="100"/>
      <c r="AC1122" s="100"/>
    </row>
    <row r="1123" spans="28:29">
      <c r="AB1123" s="100"/>
      <c r="AC1123" s="100"/>
    </row>
    <row r="1124" spans="28:29">
      <c r="AB1124" s="100"/>
      <c r="AC1124" s="100"/>
    </row>
    <row r="1125" spans="28:29">
      <c r="AB1125" s="100"/>
      <c r="AC1125" s="100"/>
    </row>
    <row r="1126" spans="28:29">
      <c r="AB1126" s="100"/>
      <c r="AC1126" s="100"/>
    </row>
    <row r="1127" spans="28:29">
      <c r="AB1127" s="100"/>
      <c r="AC1127" s="100"/>
    </row>
    <row r="1128" spans="28:29">
      <c r="AB1128" s="100"/>
      <c r="AC1128" s="100"/>
    </row>
    <row r="1129" spans="28:29">
      <c r="AB1129" s="100"/>
      <c r="AC1129" s="100"/>
    </row>
    <row r="1130" spans="28:29">
      <c r="AB1130" s="100"/>
      <c r="AC1130" s="100"/>
    </row>
    <row r="1131" spans="28:29">
      <c r="AB1131" s="100"/>
      <c r="AC1131" s="100"/>
    </row>
    <row r="1132" spans="28:29">
      <c r="AB1132" s="100"/>
      <c r="AC1132" s="100"/>
    </row>
    <row r="1133" spans="28:29">
      <c r="AB1133" s="100"/>
      <c r="AC1133" s="100"/>
    </row>
    <row r="1134" spans="28:29">
      <c r="AB1134" s="100"/>
      <c r="AC1134" s="100"/>
    </row>
    <row r="1135" spans="28:29">
      <c r="AB1135" s="100"/>
      <c r="AC1135" s="100"/>
    </row>
    <row r="1136" spans="28:29">
      <c r="AB1136" s="100"/>
      <c r="AC1136" s="100"/>
    </row>
    <row r="1137" spans="28:29">
      <c r="AB1137" s="100"/>
      <c r="AC1137" s="100"/>
    </row>
    <row r="1138" spans="28:29">
      <c r="AB1138" s="100"/>
      <c r="AC1138" s="100"/>
    </row>
    <row r="1139" spans="28:29">
      <c r="AB1139" s="100"/>
      <c r="AC1139" s="100"/>
    </row>
    <row r="1140" spans="28:29">
      <c r="AB1140" s="100"/>
      <c r="AC1140" s="100"/>
    </row>
    <row r="1141" spans="28:29">
      <c r="AB1141" s="100"/>
      <c r="AC1141" s="100"/>
    </row>
    <row r="1142" spans="28:29">
      <c r="AB1142" s="100"/>
      <c r="AC1142" s="100"/>
    </row>
    <row r="1143" spans="28:29">
      <c r="AB1143" s="100"/>
      <c r="AC1143" s="100"/>
    </row>
    <row r="1144" spans="28:29">
      <c r="AB1144" s="100"/>
      <c r="AC1144" s="100"/>
    </row>
    <row r="1145" spans="28:29">
      <c r="AB1145" s="100"/>
      <c r="AC1145" s="100"/>
    </row>
    <row r="1146" spans="28:29">
      <c r="AB1146" s="100"/>
      <c r="AC1146" s="100"/>
    </row>
    <row r="1147" spans="28:29">
      <c r="AB1147" s="100"/>
      <c r="AC1147" s="100"/>
    </row>
    <row r="1148" spans="28:29">
      <c r="AB1148" s="100"/>
      <c r="AC1148" s="100"/>
    </row>
    <row r="1149" spans="28:29">
      <c r="AB1149" s="100"/>
      <c r="AC1149" s="100"/>
    </row>
    <row r="1150" spans="28:29">
      <c r="AB1150" s="100"/>
      <c r="AC1150" s="100"/>
    </row>
    <row r="1151" spans="28:29">
      <c r="AB1151" s="100"/>
      <c r="AC1151" s="100"/>
    </row>
    <row r="1152" spans="28:29">
      <c r="AB1152" s="100"/>
      <c r="AC1152" s="100"/>
    </row>
    <row r="1153" spans="28:29">
      <c r="AB1153" s="100"/>
      <c r="AC1153" s="100"/>
    </row>
    <row r="1154" spans="28:29">
      <c r="AB1154" s="100"/>
      <c r="AC1154" s="100"/>
    </row>
    <row r="1155" spans="28:29">
      <c r="AB1155" s="100"/>
      <c r="AC1155" s="100"/>
    </row>
    <row r="1156" spans="28:29">
      <c r="AB1156" s="100"/>
      <c r="AC1156" s="100"/>
    </row>
    <row r="1157" spans="28:29">
      <c r="AB1157" s="100"/>
      <c r="AC1157" s="100"/>
    </row>
    <row r="1158" spans="28:29">
      <c r="AB1158" s="100"/>
      <c r="AC1158" s="100"/>
    </row>
    <row r="1159" spans="28:29">
      <c r="AB1159" s="100"/>
      <c r="AC1159" s="100"/>
    </row>
    <row r="1160" spans="28:29">
      <c r="AB1160" s="100"/>
      <c r="AC1160" s="100"/>
    </row>
    <row r="1161" spans="28:29">
      <c r="AB1161" s="100"/>
      <c r="AC1161" s="100"/>
    </row>
    <row r="1162" spans="28:29">
      <c r="AB1162" s="100"/>
      <c r="AC1162" s="100"/>
    </row>
    <row r="1163" spans="28:29">
      <c r="AB1163" s="100"/>
      <c r="AC1163" s="100"/>
    </row>
    <row r="1164" spans="28:29">
      <c r="AB1164" s="100"/>
      <c r="AC1164" s="100"/>
    </row>
    <row r="1165" spans="28:29">
      <c r="AB1165" s="100"/>
      <c r="AC1165" s="100"/>
    </row>
    <row r="1166" spans="28:29">
      <c r="AB1166" s="100"/>
      <c r="AC1166" s="100"/>
    </row>
    <row r="1167" spans="28:29">
      <c r="AB1167" s="100"/>
      <c r="AC1167" s="100"/>
    </row>
    <row r="1168" spans="28:29">
      <c r="AB1168" s="100"/>
      <c r="AC1168" s="100"/>
    </row>
    <row r="1169" spans="28:29">
      <c r="AB1169" s="100"/>
      <c r="AC1169" s="100"/>
    </row>
    <row r="1170" spans="28:29">
      <c r="AB1170" s="100"/>
      <c r="AC1170" s="100"/>
    </row>
    <row r="1171" spans="28:29">
      <c r="AB1171" s="100"/>
      <c r="AC1171" s="100"/>
    </row>
    <row r="1172" spans="28:29">
      <c r="AB1172" s="100"/>
      <c r="AC1172" s="100"/>
    </row>
    <row r="1173" spans="28:29">
      <c r="AB1173" s="100"/>
      <c r="AC1173" s="100"/>
    </row>
    <row r="1174" spans="28:29">
      <c r="AB1174" s="100"/>
      <c r="AC1174" s="100"/>
    </row>
    <row r="1175" spans="28:29">
      <c r="AB1175" s="100"/>
      <c r="AC1175" s="100"/>
    </row>
    <row r="1176" spans="28:29">
      <c r="AB1176" s="100"/>
      <c r="AC1176" s="100"/>
    </row>
    <row r="1177" spans="28:29">
      <c r="AB1177" s="100"/>
      <c r="AC1177" s="100"/>
    </row>
    <row r="1178" spans="28:29">
      <c r="AB1178" s="100"/>
      <c r="AC1178" s="100"/>
    </row>
    <row r="1179" spans="28:29">
      <c r="AB1179" s="100"/>
      <c r="AC1179" s="100"/>
    </row>
    <row r="1180" spans="28:29">
      <c r="AB1180" s="100"/>
      <c r="AC1180" s="100"/>
    </row>
    <row r="1181" spans="28:29">
      <c r="AB1181" s="100"/>
      <c r="AC1181" s="100"/>
    </row>
    <row r="1182" spans="28:29">
      <c r="AB1182" s="100"/>
      <c r="AC1182" s="100"/>
    </row>
    <row r="1183" spans="28:29">
      <c r="AB1183" s="100"/>
      <c r="AC1183" s="100"/>
    </row>
    <row r="1184" spans="28:29">
      <c r="AB1184" s="100"/>
      <c r="AC1184" s="100"/>
    </row>
    <row r="1185" spans="28:29">
      <c r="AB1185" s="100"/>
      <c r="AC1185" s="100"/>
    </row>
    <row r="1186" spans="28:29">
      <c r="AB1186" s="100"/>
      <c r="AC1186" s="100"/>
    </row>
    <row r="1187" spans="28:29">
      <c r="AB1187" s="100"/>
      <c r="AC1187" s="100"/>
    </row>
    <row r="1188" spans="28:29">
      <c r="AB1188" s="100"/>
      <c r="AC1188" s="100"/>
    </row>
    <row r="1189" spans="28:29">
      <c r="AB1189" s="100"/>
      <c r="AC1189" s="100"/>
    </row>
    <row r="1190" spans="28:29">
      <c r="AB1190" s="100"/>
      <c r="AC1190" s="100"/>
    </row>
    <row r="1191" spans="28:29">
      <c r="AB1191" s="100"/>
      <c r="AC1191" s="100"/>
    </row>
    <row r="1192" spans="28:29">
      <c r="AB1192" s="100"/>
      <c r="AC1192" s="100"/>
    </row>
    <row r="1193" spans="28:29">
      <c r="AB1193" s="100"/>
      <c r="AC1193" s="100"/>
    </row>
    <row r="1194" spans="28:29">
      <c r="AB1194" s="100"/>
      <c r="AC1194" s="100"/>
    </row>
    <row r="1195" spans="28:29">
      <c r="AB1195" s="100"/>
      <c r="AC1195" s="100"/>
    </row>
    <row r="1196" spans="28:29">
      <c r="AB1196" s="100"/>
      <c r="AC1196" s="100"/>
    </row>
    <row r="1197" spans="28:29">
      <c r="AB1197" s="100"/>
      <c r="AC1197" s="100"/>
    </row>
    <row r="1198" spans="28:29">
      <c r="AB1198" s="100"/>
      <c r="AC1198" s="100"/>
    </row>
    <row r="1199" spans="28:29">
      <c r="AB1199" s="100"/>
      <c r="AC1199" s="100"/>
    </row>
    <row r="1200" spans="28:29">
      <c r="AB1200" s="100"/>
      <c r="AC1200" s="100"/>
    </row>
    <row r="1201" spans="28:29">
      <c r="AB1201" s="100"/>
      <c r="AC1201" s="100"/>
    </row>
    <row r="1202" spans="28:29">
      <c r="AB1202" s="100"/>
      <c r="AC1202" s="100"/>
    </row>
    <row r="1203" spans="28:29">
      <c r="AB1203" s="100"/>
      <c r="AC1203" s="100"/>
    </row>
    <row r="1204" spans="28:29">
      <c r="AB1204" s="100"/>
      <c r="AC1204" s="100"/>
    </row>
    <row r="1205" spans="28:29">
      <c r="AB1205" s="100"/>
      <c r="AC1205" s="100"/>
    </row>
    <row r="1206" spans="28:29">
      <c r="AB1206" s="100"/>
      <c r="AC1206" s="100"/>
    </row>
    <row r="1207" spans="28:29">
      <c r="AB1207" s="100"/>
      <c r="AC1207" s="100"/>
    </row>
    <row r="1208" spans="28:29">
      <c r="AB1208" s="100"/>
      <c r="AC1208" s="100"/>
    </row>
    <row r="1209" spans="28:29">
      <c r="AB1209" s="100"/>
      <c r="AC1209" s="100"/>
    </row>
    <row r="1210" spans="28:29">
      <c r="AB1210" s="100"/>
      <c r="AC1210" s="100"/>
    </row>
    <row r="1211" spans="28:29">
      <c r="AB1211" s="100"/>
      <c r="AC1211" s="100"/>
    </row>
    <row r="1212" spans="28:29">
      <c r="AB1212" s="100"/>
      <c r="AC1212" s="100"/>
    </row>
    <row r="1213" spans="28:29">
      <c r="AB1213" s="100"/>
      <c r="AC1213" s="100"/>
    </row>
    <row r="1214" spans="28:29">
      <c r="AB1214" s="100"/>
      <c r="AC1214" s="100"/>
    </row>
    <row r="1215" spans="28:29">
      <c r="AB1215" s="100"/>
      <c r="AC1215" s="100"/>
    </row>
    <row r="1216" spans="28:29">
      <c r="AB1216" s="100"/>
      <c r="AC1216" s="100"/>
    </row>
    <row r="1217" spans="28:29">
      <c r="AB1217" s="100"/>
      <c r="AC1217" s="100"/>
    </row>
    <row r="1218" spans="28:29">
      <c r="AB1218" s="100"/>
      <c r="AC1218" s="100"/>
    </row>
    <row r="1219" spans="28:29">
      <c r="AB1219" s="100"/>
      <c r="AC1219" s="100"/>
    </row>
    <row r="1220" spans="28:29">
      <c r="AB1220" s="100"/>
      <c r="AC1220" s="100"/>
    </row>
    <row r="1221" spans="28:29">
      <c r="AB1221" s="100"/>
      <c r="AC1221" s="100"/>
    </row>
    <row r="1222" spans="28:29">
      <c r="AB1222" s="100"/>
      <c r="AC1222" s="100"/>
    </row>
    <row r="1223" spans="28:29">
      <c r="AB1223" s="100"/>
      <c r="AC1223" s="100"/>
    </row>
    <row r="1224" spans="28:29">
      <c r="AB1224" s="100"/>
      <c r="AC1224" s="100"/>
    </row>
    <row r="1225" spans="28:29">
      <c r="AB1225" s="100"/>
      <c r="AC1225" s="100"/>
    </row>
    <row r="1226" spans="28:29">
      <c r="AB1226" s="100"/>
      <c r="AC1226" s="100"/>
    </row>
    <row r="1227" spans="28:29">
      <c r="AB1227" s="100"/>
      <c r="AC1227" s="100"/>
    </row>
    <row r="1228" spans="28:29">
      <c r="AB1228" s="100"/>
      <c r="AC1228" s="100"/>
    </row>
    <row r="1229" spans="28:29">
      <c r="AB1229" s="100"/>
      <c r="AC1229" s="100"/>
    </row>
    <row r="1230" spans="28:29">
      <c r="AB1230" s="100"/>
      <c r="AC1230" s="100"/>
    </row>
    <row r="1231" spans="28:29">
      <c r="AB1231" s="100"/>
      <c r="AC1231" s="100"/>
    </row>
    <row r="1232" spans="28:29">
      <c r="AB1232" s="100"/>
      <c r="AC1232" s="100"/>
    </row>
    <row r="1233" spans="28:29">
      <c r="AB1233" s="100"/>
      <c r="AC1233" s="100"/>
    </row>
    <row r="1234" spans="28:29">
      <c r="AB1234" s="100"/>
      <c r="AC1234" s="100"/>
    </row>
    <row r="1235" spans="28:29">
      <c r="AB1235" s="100"/>
      <c r="AC1235" s="100"/>
    </row>
    <row r="1236" spans="28:29">
      <c r="AB1236" s="100"/>
      <c r="AC1236" s="100"/>
    </row>
    <row r="1237" spans="28:29">
      <c r="AB1237" s="100"/>
      <c r="AC1237" s="100"/>
    </row>
    <row r="1238" spans="28:29">
      <c r="AB1238" s="100"/>
      <c r="AC1238" s="100"/>
    </row>
    <row r="1239" spans="28:29">
      <c r="AB1239" s="100"/>
      <c r="AC1239" s="100"/>
    </row>
    <row r="1240" spans="28:29">
      <c r="AB1240" s="100"/>
      <c r="AC1240" s="100"/>
    </row>
    <row r="1241" spans="28:29">
      <c r="AB1241" s="100"/>
      <c r="AC1241" s="100"/>
    </row>
    <row r="1242" spans="28:29">
      <c r="AB1242" s="100"/>
      <c r="AC1242" s="100"/>
    </row>
    <row r="1243" spans="28:29">
      <c r="AB1243" s="100"/>
      <c r="AC1243" s="100"/>
    </row>
    <row r="1244" spans="28:29">
      <c r="AB1244" s="100"/>
      <c r="AC1244" s="100"/>
    </row>
    <row r="1245" spans="28:29">
      <c r="AB1245" s="100"/>
      <c r="AC1245" s="100"/>
    </row>
    <row r="1246" spans="28:29">
      <c r="AB1246" s="100"/>
      <c r="AC1246" s="100"/>
    </row>
    <row r="1247" spans="28:29">
      <c r="AB1247" s="100"/>
      <c r="AC1247" s="100"/>
    </row>
    <row r="1248" spans="28:29">
      <c r="AB1248" s="100"/>
      <c r="AC1248" s="100"/>
    </row>
    <row r="1249" spans="28:29">
      <c r="AB1249" s="100"/>
      <c r="AC1249" s="100"/>
    </row>
    <row r="1250" spans="28:29">
      <c r="AB1250" s="100"/>
      <c r="AC1250" s="100"/>
    </row>
    <row r="1251" spans="28:29">
      <c r="AB1251" s="100"/>
      <c r="AC1251" s="100"/>
    </row>
    <row r="1252" spans="28:29">
      <c r="AB1252" s="100"/>
      <c r="AC1252" s="100"/>
    </row>
    <row r="1253" spans="28:29">
      <c r="AB1253" s="100"/>
      <c r="AC1253" s="100"/>
    </row>
    <row r="1254" spans="28:29">
      <c r="AB1254" s="100"/>
      <c r="AC1254" s="100"/>
    </row>
    <row r="1255" spans="28:29">
      <c r="AB1255" s="100"/>
      <c r="AC1255" s="100"/>
    </row>
    <row r="1256" spans="28:29">
      <c r="AB1256" s="100"/>
      <c r="AC1256" s="100"/>
    </row>
    <row r="1257" spans="28:29">
      <c r="AB1257" s="100"/>
      <c r="AC1257" s="100"/>
    </row>
    <row r="1258" spans="28:29">
      <c r="AB1258" s="100"/>
      <c r="AC1258" s="100"/>
    </row>
    <row r="1259" spans="28:29">
      <c r="AB1259" s="100"/>
      <c r="AC1259" s="100"/>
    </row>
    <row r="1260" spans="28:29">
      <c r="AB1260" s="100"/>
      <c r="AC1260" s="100"/>
    </row>
    <row r="1261" spans="28:29">
      <c r="AB1261" s="100"/>
      <c r="AC1261" s="100"/>
    </row>
    <row r="1262" spans="28:29">
      <c r="AB1262" s="100"/>
      <c r="AC1262" s="100"/>
    </row>
    <row r="1263" spans="28:29">
      <c r="AB1263" s="100"/>
      <c r="AC1263" s="100"/>
    </row>
    <row r="1264" spans="28:29">
      <c r="AB1264" s="100"/>
      <c r="AC1264" s="100"/>
    </row>
    <row r="1265" spans="28:29">
      <c r="AB1265" s="100"/>
      <c r="AC1265" s="100"/>
    </row>
    <row r="1266" spans="28:29">
      <c r="AB1266" s="100"/>
      <c r="AC1266" s="100"/>
    </row>
    <row r="1267" spans="28:29">
      <c r="AB1267" s="100"/>
      <c r="AC1267" s="100"/>
    </row>
    <row r="1268" spans="28:29">
      <c r="AB1268" s="100"/>
      <c r="AC1268" s="100"/>
    </row>
    <row r="1269" spans="28:29">
      <c r="AB1269" s="100"/>
      <c r="AC1269" s="100"/>
    </row>
    <row r="1270" spans="28:29">
      <c r="AB1270" s="100"/>
      <c r="AC1270" s="100"/>
    </row>
    <row r="1271" spans="28:29">
      <c r="AB1271" s="100"/>
      <c r="AC1271" s="100"/>
    </row>
    <row r="1272" spans="28:29">
      <c r="AB1272" s="100"/>
      <c r="AC1272" s="100"/>
    </row>
    <row r="1273" spans="28:29">
      <c r="AB1273" s="100"/>
      <c r="AC1273" s="100"/>
    </row>
    <row r="1274" spans="28:29">
      <c r="AB1274" s="100"/>
      <c r="AC1274" s="100"/>
    </row>
    <row r="1275" spans="28:29">
      <c r="AB1275" s="100"/>
      <c r="AC1275" s="100"/>
    </row>
    <row r="1276" spans="28:29">
      <c r="AB1276" s="100"/>
      <c r="AC1276" s="100"/>
    </row>
    <row r="1277" spans="28:29">
      <c r="AB1277" s="100"/>
      <c r="AC1277" s="100"/>
    </row>
    <row r="1278" spans="28:29">
      <c r="AB1278" s="100"/>
      <c r="AC1278" s="100"/>
    </row>
    <row r="1279" spans="28:29">
      <c r="AB1279" s="100"/>
      <c r="AC1279" s="100"/>
    </row>
    <row r="1280" spans="28:29">
      <c r="AB1280" s="100"/>
      <c r="AC1280" s="100"/>
    </row>
    <row r="1281" spans="28:29">
      <c r="AB1281" s="100"/>
      <c r="AC1281" s="100"/>
    </row>
    <row r="1282" spans="28:29">
      <c r="AB1282" s="100"/>
      <c r="AC1282" s="100"/>
    </row>
    <row r="1283" spans="28:29">
      <c r="AB1283" s="100"/>
      <c r="AC1283" s="100"/>
    </row>
    <row r="1284" spans="28:29">
      <c r="AB1284" s="100"/>
      <c r="AC1284" s="100"/>
    </row>
    <row r="1285" spans="28:29">
      <c r="AB1285" s="100"/>
      <c r="AC1285" s="100"/>
    </row>
    <row r="1286" spans="28:29">
      <c r="AB1286" s="100"/>
      <c r="AC1286" s="100"/>
    </row>
    <row r="1287" spans="28:29">
      <c r="AB1287" s="100"/>
      <c r="AC1287" s="100"/>
    </row>
    <row r="1288" spans="28:29">
      <c r="AB1288" s="100"/>
      <c r="AC1288" s="100"/>
    </row>
    <row r="1289" spans="28:29">
      <c r="AB1289" s="100"/>
      <c r="AC1289" s="100"/>
    </row>
    <row r="1290" spans="28:29">
      <c r="AB1290" s="100"/>
      <c r="AC1290" s="100"/>
    </row>
    <row r="1291" spans="28:29">
      <c r="AB1291" s="100"/>
      <c r="AC1291" s="100"/>
    </row>
    <row r="1292" spans="28:29">
      <c r="AB1292" s="100"/>
      <c r="AC1292" s="100"/>
    </row>
    <row r="1293" spans="28:29">
      <c r="AB1293" s="100"/>
      <c r="AC1293" s="100"/>
    </row>
    <row r="1294" spans="28:29">
      <c r="AB1294" s="100"/>
      <c r="AC1294" s="100"/>
    </row>
    <row r="1295" spans="28:29">
      <c r="AB1295" s="100"/>
      <c r="AC1295" s="100"/>
    </row>
    <row r="1296" spans="28:29">
      <c r="AB1296" s="100"/>
      <c r="AC1296" s="100"/>
    </row>
    <row r="1297" spans="28:29">
      <c r="AB1297" s="100"/>
      <c r="AC1297" s="100"/>
    </row>
    <row r="1298" spans="28:29">
      <c r="AB1298" s="100"/>
      <c r="AC1298" s="100"/>
    </row>
    <row r="1299" spans="28:29">
      <c r="AB1299" s="100"/>
      <c r="AC1299" s="100"/>
    </row>
    <row r="1300" spans="28:29">
      <c r="AB1300" s="100"/>
      <c r="AC1300" s="100"/>
    </row>
    <row r="1301" spans="28:29">
      <c r="AB1301" s="100"/>
      <c r="AC1301" s="100"/>
    </row>
    <row r="1302" spans="28:29">
      <c r="AB1302" s="100"/>
      <c r="AC1302" s="100"/>
    </row>
    <row r="1303" spans="28:29">
      <c r="AB1303" s="100"/>
      <c r="AC1303" s="100"/>
    </row>
    <row r="1304" spans="28:29">
      <c r="AB1304" s="100"/>
      <c r="AC1304" s="100"/>
    </row>
    <row r="1305" spans="28:29">
      <c r="AB1305" s="100"/>
      <c r="AC1305" s="100"/>
    </row>
    <row r="1306" spans="28:29">
      <c r="AB1306" s="100"/>
      <c r="AC1306" s="100"/>
    </row>
    <row r="1307" spans="28:29">
      <c r="AB1307" s="100"/>
      <c r="AC1307" s="100"/>
    </row>
    <row r="1308" spans="28:29">
      <c r="AB1308" s="100"/>
      <c r="AC1308" s="100"/>
    </row>
    <row r="1309" spans="28:29">
      <c r="AB1309" s="100"/>
      <c r="AC1309" s="100"/>
    </row>
    <row r="1310" spans="28:29">
      <c r="AB1310" s="100"/>
      <c r="AC1310" s="100"/>
    </row>
    <row r="1311" spans="28:29">
      <c r="AB1311" s="100"/>
      <c r="AC1311" s="100"/>
    </row>
    <row r="1312" spans="28:29">
      <c r="AB1312" s="100"/>
      <c r="AC1312" s="100"/>
    </row>
    <row r="1313" spans="28:29">
      <c r="AB1313" s="100"/>
      <c r="AC1313" s="100"/>
    </row>
    <row r="1314" spans="28:29">
      <c r="AB1314" s="100"/>
      <c r="AC1314" s="100"/>
    </row>
    <row r="1315" spans="28:29">
      <c r="AB1315" s="100"/>
      <c r="AC1315" s="100"/>
    </row>
    <row r="1316" spans="28:29">
      <c r="AB1316" s="100"/>
      <c r="AC1316" s="100"/>
    </row>
    <row r="1317" spans="28:29">
      <c r="AB1317" s="100"/>
      <c r="AC1317" s="100"/>
    </row>
    <row r="1318" spans="28:29">
      <c r="AB1318" s="100"/>
      <c r="AC1318" s="100"/>
    </row>
    <row r="1319" spans="28:29">
      <c r="AB1319" s="100"/>
      <c r="AC1319" s="100"/>
    </row>
    <row r="1320" spans="28:29">
      <c r="AB1320" s="100"/>
      <c r="AC1320" s="100"/>
    </row>
    <row r="1321" spans="28:29">
      <c r="AB1321" s="100"/>
      <c r="AC1321" s="100"/>
    </row>
    <row r="1322" spans="28:29">
      <c r="AB1322" s="100"/>
      <c r="AC1322" s="100"/>
    </row>
    <row r="1323" spans="28:29">
      <c r="AB1323" s="100"/>
      <c r="AC1323" s="100"/>
    </row>
    <row r="1324" spans="28:29">
      <c r="AB1324" s="100"/>
      <c r="AC1324" s="100"/>
    </row>
    <row r="1325" spans="28:29">
      <c r="AB1325" s="100"/>
      <c r="AC1325" s="100"/>
    </row>
    <row r="1326" spans="28:29">
      <c r="AB1326" s="100"/>
      <c r="AC1326" s="100"/>
    </row>
    <row r="1327" spans="28:29">
      <c r="AB1327" s="100"/>
      <c r="AC1327" s="100"/>
    </row>
    <row r="1328" spans="28:29">
      <c r="AB1328" s="100"/>
      <c r="AC1328" s="100"/>
    </row>
    <row r="1329" spans="28:29">
      <c r="AB1329" s="100"/>
      <c r="AC1329" s="100"/>
    </row>
    <row r="1330" spans="28:29">
      <c r="AB1330" s="100"/>
      <c r="AC1330" s="100"/>
    </row>
    <row r="1331" spans="28:29">
      <c r="AB1331" s="100"/>
      <c r="AC1331" s="100"/>
    </row>
    <row r="1332" spans="28:29">
      <c r="AB1332" s="100"/>
      <c r="AC1332" s="100"/>
    </row>
    <row r="1333" spans="28:29">
      <c r="AB1333" s="100"/>
      <c r="AC1333" s="100"/>
    </row>
    <row r="1334" spans="28:29">
      <c r="AB1334" s="100"/>
      <c r="AC1334" s="100"/>
    </row>
    <row r="1335" spans="28:29">
      <c r="AB1335" s="100"/>
      <c r="AC1335" s="100"/>
    </row>
    <row r="1336" spans="28:29">
      <c r="AB1336" s="100"/>
      <c r="AC1336" s="100"/>
    </row>
    <row r="1337" spans="28:29">
      <c r="AB1337" s="100"/>
      <c r="AC1337" s="100"/>
    </row>
    <row r="1338" spans="28:29">
      <c r="AB1338" s="100"/>
      <c r="AC1338" s="100"/>
    </row>
    <row r="1339" spans="28:29">
      <c r="AB1339" s="100"/>
      <c r="AC1339" s="100"/>
    </row>
    <row r="1340" spans="28:29">
      <c r="AB1340" s="100"/>
      <c r="AC1340" s="100"/>
    </row>
    <row r="1341" spans="28:29">
      <c r="AB1341" s="100"/>
      <c r="AC1341" s="100"/>
    </row>
    <row r="1342" spans="28:29">
      <c r="AB1342" s="100"/>
      <c r="AC1342" s="100"/>
    </row>
    <row r="1343" spans="28:29">
      <c r="AB1343" s="100"/>
      <c r="AC1343" s="100"/>
    </row>
    <row r="1344" spans="28:29">
      <c r="AB1344" s="100"/>
      <c r="AC1344" s="100"/>
    </row>
    <row r="1345" spans="28:29">
      <c r="AB1345" s="100"/>
      <c r="AC1345" s="100"/>
    </row>
    <row r="1346" spans="28:29">
      <c r="AB1346" s="100"/>
      <c r="AC1346" s="100"/>
    </row>
    <row r="1347" spans="28:29">
      <c r="AB1347" s="100"/>
      <c r="AC1347" s="100"/>
    </row>
    <row r="1348" spans="28:29">
      <c r="AB1348" s="100"/>
      <c r="AC1348" s="100"/>
    </row>
    <row r="1349" spans="28:29">
      <c r="AB1349" s="100"/>
      <c r="AC1349" s="100"/>
    </row>
    <row r="1350" spans="28:29">
      <c r="AB1350" s="100"/>
      <c r="AC1350" s="100"/>
    </row>
    <row r="1351" spans="28:29">
      <c r="AB1351" s="100"/>
      <c r="AC1351" s="100"/>
    </row>
    <row r="1352" spans="28:29">
      <c r="AB1352" s="100"/>
      <c r="AC1352" s="100"/>
    </row>
    <row r="1353" spans="28:29">
      <c r="AB1353" s="100"/>
      <c r="AC1353" s="100"/>
    </row>
    <row r="1354" spans="28:29">
      <c r="AB1354" s="100"/>
      <c r="AC1354" s="100"/>
    </row>
    <row r="1355" spans="28:29">
      <c r="AB1355" s="100"/>
      <c r="AC1355" s="100"/>
    </row>
    <row r="1356" spans="28:29">
      <c r="AB1356" s="100"/>
      <c r="AC1356" s="100"/>
    </row>
    <row r="1357" spans="28:29">
      <c r="AB1357" s="100"/>
      <c r="AC1357" s="100"/>
    </row>
    <row r="1358" spans="28:29">
      <c r="AB1358" s="100"/>
      <c r="AC1358" s="100"/>
    </row>
    <row r="1359" spans="28:29">
      <c r="AB1359" s="100"/>
      <c r="AC1359" s="100"/>
    </row>
    <row r="1360" spans="28:29">
      <c r="AB1360" s="100"/>
      <c r="AC1360" s="100"/>
    </row>
    <row r="1361" spans="28:29">
      <c r="AB1361" s="100"/>
      <c r="AC1361" s="100"/>
    </row>
    <row r="1362" spans="28:29">
      <c r="AB1362" s="100"/>
      <c r="AC1362" s="100"/>
    </row>
    <row r="1363" spans="28:29">
      <c r="AB1363" s="100"/>
      <c r="AC1363" s="100"/>
    </row>
    <row r="1364" spans="28:29">
      <c r="AB1364" s="100"/>
      <c r="AC1364" s="100"/>
    </row>
    <row r="1365" spans="28:29">
      <c r="AB1365" s="100"/>
      <c r="AC1365" s="100"/>
    </row>
    <row r="1366" spans="28:29">
      <c r="AB1366" s="100"/>
      <c r="AC1366" s="100"/>
    </row>
    <row r="1367" spans="28:29">
      <c r="AB1367" s="100"/>
      <c r="AC1367" s="100"/>
    </row>
    <row r="1368" spans="28:29">
      <c r="AB1368" s="100"/>
      <c r="AC1368" s="100"/>
    </row>
    <row r="1369" spans="28:29">
      <c r="AB1369" s="100"/>
      <c r="AC1369" s="100"/>
    </row>
    <row r="1370" spans="28:29">
      <c r="AB1370" s="100"/>
      <c r="AC1370" s="100"/>
    </row>
    <row r="1371" spans="28:29">
      <c r="AB1371" s="100"/>
      <c r="AC1371" s="100"/>
    </row>
    <row r="1372" spans="28:29">
      <c r="AB1372" s="100"/>
      <c r="AC1372" s="100"/>
    </row>
    <row r="1373" spans="28:29">
      <c r="AB1373" s="100"/>
      <c r="AC1373" s="100"/>
    </row>
    <row r="1374" spans="28:29">
      <c r="AB1374" s="100"/>
      <c r="AC1374" s="100"/>
    </row>
    <row r="1375" spans="28:29">
      <c r="AB1375" s="100"/>
      <c r="AC1375" s="100"/>
    </row>
    <row r="1376" spans="28:29">
      <c r="AB1376" s="100"/>
      <c r="AC1376" s="100"/>
    </row>
    <row r="1377" spans="28:29">
      <c r="AB1377" s="100"/>
      <c r="AC1377" s="100"/>
    </row>
    <row r="1378" spans="28:29">
      <c r="AB1378" s="100"/>
      <c r="AC1378" s="100"/>
    </row>
    <row r="1379" spans="28:29">
      <c r="AB1379" s="100"/>
      <c r="AC1379" s="100"/>
    </row>
    <row r="1380" spans="28:29">
      <c r="AB1380" s="100"/>
      <c r="AC1380" s="100"/>
    </row>
    <row r="1381" spans="28:29">
      <c r="AB1381" s="100"/>
      <c r="AC1381" s="100"/>
    </row>
    <row r="1382" spans="28:29">
      <c r="AB1382" s="100"/>
      <c r="AC1382" s="100"/>
    </row>
    <row r="1383" spans="28:29">
      <c r="AB1383" s="100"/>
      <c r="AC1383" s="100"/>
    </row>
    <row r="1384" spans="28:29">
      <c r="AB1384" s="100"/>
      <c r="AC1384" s="100"/>
    </row>
    <row r="1385" spans="28:29">
      <c r="AB1385" s="100"/>
      <c r="AC1385" s="100"/>
    </row>
    <row r="1386" spans="28:29">
      <c r="AB1386" s="100"/>
      <c r="AC1386" s="100"/>
    </row>
    <row r="1387" spans="28:29">
      <c r="AB1387" s="100"/>
      <c r="AC1387" s="100"/>
    </row>
    <row r="1388" spans="28:29">
      <c r="AB1388" s="100"/>
      <c r="AC1388" s="100"/>
    </row>
    <row r="1389" spans="28:29">
      <c r="AB1389" s="100"/>
      <c r="AC1389" s="100"/>
    </row>
    <row r="1390" spans="28:29">
      <c r="AB1390" s="100"/>
      <c r="AC1390" s="100"/>
    </row>
    <row r="1391" spans="28:29">
      <c r="AB1391" s="100"/>
      <c r="AC1391" s="100"/>
    </row>
    <row r="1392" spans="28:29">
      <c r="AB1392" s="100"/>
      <c r="AC1392" s="100"/>
    </row>
    <row r="1393" spans="28:29">
      <c r="AB1393" s="100"/>
      <c r="AC1393" s="100"/>
    </row>
    <row r="1394" spans="28:29">
      <c r="AB1394" s="100"/>
      <c r="AC1394" s="100"/>
    </row>
    <row r="1395" spans="28:29">
      <c r="AB1395" s="100"/>
      <c r="AC1395" s="100"/>
    </row>
    <row r="1396" spans="28:29">
      <c r="AB1396" s="100"/>
      <c r="AC1396" s="100"/>
    </row>
    <row r="1397" spans="28:29">
      <c r="AB1397" s="100"/>
      <c r="AC1397" s="100"/>
    </row>
    <row r="1398" spans="28:29">
      <c r="AB1398" s="100"/>
      <c r="AC1398" s="100"/>
    </row>
    <row r="1399" spans="28:29">
      <c r="AB1399" s="100"/>
      <c r="AC1399" s="100"/>
    </row>
    <row r="1400" spans="28:29">
      <c r="AB1400" s="100"/>
      <c r="AC1400" s="100"/>
    </row>
    <row r="1401" spans="28:29">
      <c r="AB1401" s="100"/>
      <c r="AC1401" s="100"/>
    </row>
    <row r="1402" spans="28:29">
      <c r="AB1402" s="100"/>
      <c r="AC1402" s="100"/>
    </row>
    <row r="1403" spans="28:29">
      <c r="AB1403" s="100"/>
      <c r="AC1403" s="100"/>
    </row>
    <row r="1404" spans="28:29">
      <c r="AB1404" s="100"/>
      <c r="AC1404" s="100"/>
    </row>
    <row r="1405" spans="28:29">
      <c r="AB1405" s="100"/>
      <c r="AC1405" s="100"/>
    </row>
    <row r="1406" spans="28:29">
      <c r="AB1406" s="100"/>
      <c r="AC1406" s="100"/>
    </row>
    <row r="1407" spans="28:29">
      <c r="AB1407" s="100"/>
      <c r="AC1407" s="100"/>
    </row>
    <row r="1408" spans="28:29">
      <c r="AB1408" s="100"/>
      <c r="AC1408" s="100"/>
    </row>
    <row r="1409" spans="28:29">
      <c r="AB1409" s="100"/>
      <c r="AC1409" s="100"/>
    </row>
    <row r="1410" spans="28:29">
      <c r="AB1410" s="100"/>
      <c r="AC1410" s="100"/>
    </row>
    <row r="1411" spans="28:29">
      <c r="AB1411" s="100"/>
      <c r="AC1411" s="100"/>
    </row>
    <row r="1412" spans="28:29">
      <c r="AB1412" s="100"/>
      <c r="AC1412" s="100"/>
    </row>
    <row r="1413" spans="28:29">
      <c r="AB1413" s="100"/>
      <c r="AC1413" s="100"/>
    </row>
    <row r="1414" spans="28:29">
      <c r="AB1414" s="100"/>
      <c r="AC1414" s="100"/>
    </row>
    <row r="1415" spans="28:29">
      <c r="AB1415" s="100"/>
      <c r="AC1415" s="100"/>
    </row>
    <row r="1416" spans="28:29">
      <c r="AB1416" s="100"/>
      <c r="AC1416" s="100"/>
    </row>
    <row r="1417" spans="28:29">
      <c r="AB1417" s="100"/>
      <c r="AC1417" s="100"/>
    </row>
    <row r="1418" spans="28:29">
      <c r="AB1418" s="100"/>
      <c r="AC1418" s="100"/>
    </row>
    <row r="1419" spans="28:29">
      <c r="AB1419" s="100"/>
      <c r="AC1419" s="100"/>
    </row>
    <row r="1420" spans="28:29">
      <c r="AB1420" s="100"/>
      <c r="AC1420" s="100"/>
    </row>
    <row r="1421" spans="28:29">
      <c r="AB1421" s="100"/>
      <c r="AC1421" s="100"/>
    </row>
    <row r="1422" spans="28:29">
      <c r="AB1422" s="100"/>
      <c r="AC1422" s="100"/>
    </row>
    <row r="1423" spans="28:29">
      <c r="AB1423" s="100"/>
      <c r="AC1423" s="100"/>
    </row>
    <row r="1424" spans="28:29">
      <c r="AB1424" s="100"/>
      <c r="AC1424" s="100"/>
    </row>
    <row r="1425" spans="28:29">
      <c r="AB1425" s="100"/>
      <c r="AC1425" s="100"/>
    </row>
    <row r="1426" spans="28:29">
      <c r="AB1426" s="100"/>
      <c r="AC1426" s="100"/>
    </row>
    <row r="1427" spans="28:29">
      <c r="AB1427" s="100"/>
      <c r="AC1427" s="100"/>
    </row>
    <row r="1428" spans="28:29">
      <c r="AB1428" s="100"/>
      <c r="AC1428" s="100"/>
    </row>
    <row r="1429" spans="28:29">
      <c r="AB1429" s="100"/>
      <c r="AC1429" s="100"/>
    </row>
    <row r="1430" spans="28:29">
      <c r="AB1430" s="100"/>
      <c r="AC1430" s="100"/>
    </row>
    <row r="1431" spans="28:29">
      <c r="AB1431" s="100"/>
      <c r="AC1431" s="100"/>
    </row>
    <row r="1432" spans="28:29">
      <c r="AB1432" s="100"/>
      <c r="AC1432" s="100"/>
    </row>
    <row r="1433" spans="28:29">
      <c r="AB1433" s="100"/>
      <c r="AC1433" s="100"/>
    </row>
    <row r="1434" spans="28:29">
      <c r="AB1434" s="100"/>
      <c r="AC1434" s="100"/>
    </row>
    <row r="1435" spans="28:29">
      <c r="AB1435" s="100"/>
      <c r="AC1435" s="100"/>
    </row>
    <row r="1436" spans="28:29">
      <c r="AB1436" s="100"/>
      <c r="AC1436" s="100"/>
    </row>
    <row r="1437" spans="28:29">
      <c r="AB1437" s="100"/>
      <c r="AC1437" s="100"/>
    </row>
    <row r="1438" spans="28:29">
      <c r="AB1438" s="100"/>
      <c r="AC1438" s="100"/>
    </row>
    <row r="1439" spans="28:29">
      <c r="AB1439" s="100"/>
      <c r="AC1439" s="100"/>
    </row>
    <row r="1440" spans="28:29">
      <c r="AB1440" s="100"/>
      <c r="AC1440" s="100"/>
    </row>
    <row r="1441" spans="28:29">
      <c r="AB1441" s="100"/>
      <c r="AC1441" s="100"/>
    </row>
    <row r="1442" spans="28:29">
      <c r="AB1442" s="100"/>
      <c r="AC1442" s="100"/>
    </row>
    <row r="1443" spans="28:29">
      <c r="AB1443" s="100"/>
      <c r="AC1443" s="100"/>
    </row>
    <row r="1444" spans="28:29">
      <c r="AB1444" s="100"/>
      <c r="AC1444" s="100"/>
    </row>
    <row r="1445" spans="28:29">
      <c r="AB1445" s="100"/>
      <c r="AC1445" s="100"/>
    </row>
    <row r="1446" spans="28:29">
      <c r="AB1446" s="100"/>
      <c r="AC1446" s="100"/>
    </row>
    <row r="1447" spans="28:29">
      <c r="AB1447" s="100"/>
      <c r="AC1447" s="100"/>
    </row>
    <row r="1448" spans="28:29">
      <c r="AB1448" s="100"/>
      <c r="AC1448" s="100"/>
    </row>
    <row r="1449" spans="28:29">
      <c r="AB1449" s="100"/>
      <c r="AC1449" s="100"/>
    </row>
    <row r="1450" spans="28:29">
      <c r="AB1450" s="100"/>
      <c r="AC1450" s="100"/>
    </row>
    <row r="1451" spans="28:29">
      <c r="AB1451" s="100"/>
      <c r="AC1451" s="100"/>
    </row>
    <row r="1452" spans="28:29">
      <c r="AB1452" s="100"/>
      <c r="AC1452" s="100"/>
    </row>
    <row r="1453" spans="28:29">
      <c r="AB1453" s="100"/>
      <c r="AC1453" s="100"/>
    </row>
    <row r="1454" spans="28:29">
      <c r="AB1454" s="100"/>
      <c r="AC1454" s="100"/>
    </row>
    <row r="1455" spans="28:29">
      <c r="AB1455" s="100"/>
      <c r="AC1455" s="100"/>
    </row>
    <row r="1456" spans="28:29">
      <c r="AB1456" s="100"/>
      <c r="AC1456" s="100"/>
    </row>
    <row r="1457" spans="28:29">
      <c r="AB1457" s="100"/>
      <c r="AC1457" s="100"/>
    </row>
    <row r="1458" spans="28:29">
      <c r="AB1458" s="100"/>
      <c r="AC1458" s="100"/>
    </row>
    <row r="1459" spans="28:29">
      <c r="AB1459" s="100"/>
      <c r="AC1459" s="100"/>
    </row>
    <row r="1460" spans="28:29">
      <c r="AB1460" s="100"/>
      <c r="AC1460" s="100"/>
    </row>
    <row r="1461" spans="28:29">
      <c r="AB1461" s="100"/>
      <c r="AC1461" s="100"/>
    </row>
    <row r="1462" spans="28:29">
      <c r="AB1462" s="100"/>
      <c r="AC1462" s="100"/>
    </row>
    <row r="1463" spans="28:29">
      <c r="AB1463" s="100"/>
      <c r="AC1463" s="100"/>
    </row>
    <row r="1464" spans="28:29">
      <c r="AB1464" s="100"/>
      <c r="AC1464" s="100"/>
    </row>
    <row r="1465" spans="28:29">
      <c r="AB1465" s="100"/>
      <c r="AC1465" s="100"/>
    </row>
    <row r="1466" spans="28:29">
      <c r="AB1466" s="100"/>
      <c r="AC1466" s="100"/>
    </row>
    <row r="1467" spans="28:29">
      <c r="AB1467" s="100"/>
      <c r="AC1467" s="100"/>
    </row>
    <row r="1468" spans="28:29">
      <c r="AB1468" s="100"/>
      <c r="AC1468" s="100"/>
    </row>
    <row r="1469" spans="28:29">
      <c r="AB1469" s="100"/>
      <c r="AC1469" s="100"/>
    </row>
    <row r="1470" spans="28:29">
      <c r="AB1470" s="100"/>
      <c r="AC1470" s="100"/>
    </row>
    <row r="1471" spans="28:29">
      <c r="AB1471" s="100"/>
      <c r="AC1471" s="100"/>
    </row>
    <row r="1472" spans="28:29">
      <c r="AB1472" s="100"/>
      <c r="AC1472" s="100"/>
    </row>
    <row r="1473" spans="28:29">
      <c r="AB1473" s="100"/>
      <c r="AC1473" s="100"/>
    </row>
    <row r="1474" spans="28:29">
      <c r="AB1474" s="100"/>
      <c r="AC1474" s="100"/>
    </row>
    <row r="1475" spans="28:29">
      <c r="AB1475" s="100"/>
      <c r="AC1475" s="100"/>
    </row>
    <row r="1476" spans="28:29">
      <c r="AB1476" s="100"/>
      <c r="AC1476" s="100"/>
    </row>
    <row r="1477" spans="28:29">
      <c r="AB1477" s="100"/>
      <c r="AC1477" s="100"/>
    </row>
    <row r="1478" spans="28:29">
      <c r="AB1478" s="100"/>
      <c r="AC1478" s="100"/>
    </row>
    <row r="1479" spans="28:29">
      <c r="AB1479" s="100"/>
      <c r="AC1479" s="100"/>
    </row>
    <row r="1480" spans="28:29">
      <c r="AB1480" s="100"/>
      <c r="AC1480" s="100"/>
    </row>
    <row r="1481" spans="28:29">
      <c r="AB1481" s="100"/>
      <c r="AC1481" s="100"/>
    </row>
    <row r="1482" spans="28:29">
      <c r="AB1482" s="100"/>
      <c r="AC1482" s="100"/>
    </row>
    <row r="1483" spans="28:29">
      <c r="AB1483" s="100"/>
      <c r="AC1483" s="100"/>
    </row>
    <row r="1484" spans="28:29">
      <c r="AB1484" s="100"/>
      <c r="AC1484" s="100"/>
    </row>
    <row r="1485" spans="28:29">
      <c r="AB1485" s="100"/>
      <c r="AC1485" s="100"/>
    </row>
    <row r="1486" spans="28:29">
      <c r="AB1486" s="100"/>
      <c r="AC1486" s="100"/>
    </row>
    <row r="1487" spans="28:29">
      <c r="AB1487" s="100"/>
      <c r="AC1487" s="100"/>
    </row>
    <row r="1488" spans="28:29">
      <c r="AB1488" s="100"/>
      <c r="AC1488" s="100"/>
    </row>
    <row r="1489" spans="28:29">
      <c r="AB1489" s="100"/>
      <c r="AC1489" s="100"/>
    </row>
    <row r="1490" spans="28:29">
      <c r="AB1490" s="100"/>
      <c r="AC1490" s="100"/>
    </row>
    <row r="1491" spans="28:29">
      <c r="AB1491" s="100"/>
      <c r="AC1491" s="100"/>
    </row>
    <row r="1492" spans="28:29">
      <c r="AB1492" s="100"/>
      <c r="AC1492" s="100"/>
    </row>
    <row r="1493" spans="28:29">
      <c r="AB1493" s="100"/>
      <c r="AC1493" s="100"/>
    </row>
    <row r="1494" spans="28:29">
      <c r="AB1494" s="100"/>
      <c r="AC1494" s="100"/>
    </row>
    <row r="1495" spans="28:29">
      <c r="AB1495" s="100"/>
      <c r="AC1495" s="100"/>
    </row>
    <row r="1496" spans="28:29">
      <c r="AB1496" s="100"/>
      <c r="AC1496" s="100"/>
    </row>
    <row r="1497" spans="28:29">
      <c r="AB1497" s="100"/>
      <c r="AC1497" s="100"/>
    </row>
    <row r="1498" spans="28:29">
      <c r="AB1498" s="100"/>
      <c r="AC1498" s="100"/>
    </row>
    <row r="1499" spans="28:29">
      <c r="AB1499" s="100"/>
      <c r="AC1499" s="100"/>
    </row>
    <row r="1500" spans="28:29">
      <c r="AB1500" s="100"/>
      <c r="AC1500" s="100"/>
    </row>
    <row r="1501" spans="28:29">
      <c r="AB1501" s="100"/>
      <c r="AC1501" s="100"/>
    </row>
    <row r="1502" spans="28:29">
      <c r="AB1502" s="100"/>
      <c r="AC1502" s="100"/>
    </row>
    <row r="1503" spans="28:29">
      <c r="AB1503" s="100"/>
      <c r="AC1503" s="100"/>
    </row>
    <row r="1504" spans="28:29">
      <c r="AB1504" s="100"/>
      <c r="AC1504" s="100"/>
    </row>
    <row r="1505" spans="28:29">
      <c r="AB1505" s="100"/>
      <c r="AC1505" s="100"/>
    </row>
    <row r="1506" spans="28:29">
      <c r="AB1506" s="100"/>
      <c r="AC1506" s="100"/>
    </row>
    <row r="1507" spans="28:29">
      <c r="AB1507" s="100"/>
      <c r="AC1507" s="100"/>
    </row>
    <row r="1508" spans="28:29">
      <c r="AB1508" s="100"/>
      <c r="AC1508" s="100"/>
    </row>
    <row r="1509" spans="28:29">
      <c r="AB1509" s="100"/>
      <c r="AC1509" s="100"/>
    </row>
    <row r="1510" spans="28:29">
      <c r="AB1510" s="100"/>
      <c r="AC1510" s="100"/>
    </row>
    <row r="1511" spans="28:29">
      <c r="AB1511" s="100"/>
      <c r="AC1511" s="100"/>
    </row>
    <row r="1512" spans="28:29">
      <c r="AB1512" s="100"/>
      <c r="AC1512" s="100"/>
    </row>
    <row r="1513" spans="28:29">
      <c r="AB1513" s="100"/>
      <c r="AC1513" s="100"/>
    </row>
    <row r="1514" spans="28:29">
      <c r="AB1514" s="100"/>
      <c r="AC1514" s="100"/>
    </row>
    <row r="1515" spans="28:29">
      <c r="AB1515" s="100"/>
      <c r="AC1515" s="100"/>
    </row>
    <row r="1516" spans="28:29">
      <c r="AB1516" s="100"/>
      <c r="AC1516" s="100"/>
    </row>
    <row r="1517" spans="28:29">
      <c r="AB1517" s="100"/>
      <c r="AC1517" s="100"/>
    </row>
    <row r="1518" spans="28:29">
      <c r="AB1518" s="100"/>
      <c r="AC1518" s="100"/>
    </row>
    <row r="1519" spans="28:29">
      <c r="AB1519" s="100"/>
      <c r="AC1519" s="100"/>
    </row>
    <row r="1520" spans="28:29">
      <c r="AB1520" s="100"/>
      <c r="AC1520" s="100"/>
    </row>
    <row r="1521" spans="28:29">
      <c r="AB1521" s="100"/>
      <c r="AC1521" s="100"/>
    </row>
    <row r="1522" spans="28:29">
      <c r="AB1522" s="100"/>
      <c r="AC1522" s="100"/>
    </row>
    <row r="1523" spans="28:29">
      <c r="AB1523" s="100"/>
      <c r="AC1523" s="100"/>
    </row>
    <row r="1524" spans="28:29">
      <c r="AB1524" s="100"/>
      <c r="AC1524" s="100"/>
    </row>
    <row r="1525" spans="28:29">
      <c r="AB1525" s="100"/>
      <c r="AC1525" s="100"/>
    </row>
    <row r="1526" spans="28:29">
      <c r="AB1526" s="100"/>
      <c r="AC1526" s="100"/>
    </row>
    <row r="1527" spans="28:29">
      <c r="AB1527" s="100"/>
      <c r="AC1527" s="100"/>
    </row>
    <row r="1528" spans="28:29">
      <c r="AB1528" s="100"/>
      <c r="AC1528" s="100"/>
    </row>
    <row r="1529" spans="28:29">
      <c r="AB1529" s="100"/>
      <c r="AC1529" s="100"/>
    </row>
    <row r="1530" spans="28:29">
      <c r="AB1530" s="100"/>
      <c r="AC1530" s="100"/>
    </row>
    <row r="1531" spans="28:29">
      <c r="AB1531" s="100"/>
      <c r="AC1531" s="100"/>
    </row>
    <row r="1532" spans="28:29">
      <c r="AB1532" s="100"/>
      <c r="AC1532" s="100"/>
    </row>
    <row r="1533" spans="28:29">
      <c r="AB1533" s="100"/>
      <c r="AC1533" s="100"/>
    </row>
    <row r="1534" spans="28:29">
      <c r="AB1534" s="100"/>
      <c r="AC1534" s="100"/>
    </row>
    <row r="1535" spans="28:29">
      <c r="AB1535" s="100"/>
      <c r="AC1535" s="100"/>
    </row>
    <row r="1536" spans="28:29">
      <c r="AB1536" s="100"/>
      <c r="AC1536" s="100"/>
    </row>
    <row r="1537" spans="28:29">
      <c r="AB1537" s="100"/>
      <c r="AC1537" s="100"/>
    </row>
    <row r="1538" spans="28:29">
      <c r="AB1538" s="100"/>
      <c r="AC1538" s="100"/>
    </row>
    <row r="1539" spans="28:29">
      <c r="AB1539" s="100"/>
      <c r="AC1539" s="100"/>
    </row>
    <row r="1540" spans="28:29">
      <c r="AB1540" s="100"/>
      <c r="AC1540" s="100"/>
    </row>
    <row r="1541" spans="28:29">
      <c r="AB1541" s="100"/>
      <c r="AC1541" s="100"/>
    </row>
    <row r="1542" spans="28:29">
      <c r="AB1542" s="100"/>
      <c r="AC1542" s="100"/>
    </row>
    <row r="1543" spans="28:29">
      <c r="AB1543" s="100"/>
      <c r="AC1543" s="100"/>
    </row>
    <row r="1544" spans="28:29">
      <c r="AB1544" s="100"/>
      <c r="AC1544" s="100"/>
    </row>
    <row r="1545" spans="28:29">
      <c r="AB1545" s="100"/>
      <c r="AC1545" s="100"/>
    </row>
    <row r="1546" spans="28:29">
      <c r="AB1546" s="100"/>
      <c r="AC1546" s="100"/>
    </row>
    <row r="1547" spans="28:29">
      <c r="AB1547" s="100"/>
      <c r="AC1547" s="100"/>
    </row>
    <row r="1548" spans="28:29">
      <c r="AB1548" s="100"/>
      <c r="AC1548" s="100"/>
    </row>
    <row r="1549" spans="28:29">
      <c r="AB1549" s="100"/>
      <c r="AC1549" s="100"/>
    </row>
    <row r="1550" spans="28:29">
      <c r="AB1550" s="100"/>
      <c r="AC1550" s="100"/>
    </row>
    <row r="1551" spans="28:29">
      <c r="AB1551" s="100"/>
      <c r="AC1551" s="100"/>
    </row>
    <row r="1552" spans="28:29">
      <c r="AB1552" s="100"/>
      <c r="AC1552" s="100"/>
    </row>
    <row r="1553" spans="28:29">
      <c r="AB1553" s="100"/>
      <c r="AC1553" s="100"/>
    </row>
    <row r="1554" spans="28:29">
      <c r="AB1554" s="100"/>
      <c r="AC1554" s="100"/>
    </row>
    <row r="1555" spans="28:29">
      <c r="AB1555" s="100"/>
      <c r="AC1555" s="100"/>
    </row>
    <row r="1556" spans="28:29">
      <c r="AB1556" s="100"/>
      <c r="AC1556" s="100"/>
    </row>
    <row r="1557" spans="28:29">
      <c r="AB1557" s="100"/>
      <c r="AC1557" s="100"/>
    </row>
    <row r="1558" spans="28:29">
      <c r="AB1558" s="100"/>
      <c r="AC1558" s="100"/>
    </row>
    <row r="1559" spans="28:29">
      <c r="AB1559" s="100"/>
      <c r="AC1559" s="100"/>
    </row>
    <row r="1560" spans="28:29">
      <c r="AB1560" s="100"/>
      <c r="AC1560" s="100"/>
    </row>
    <row r="1561" spans="28:29">
      <c r="AB1561" s="100"/>
      <c r="AC1561" s="100"/>
    </row>
    <row r="1562" spans="28:29">
      <c r="AB1562" s="100"/>
      <c r="AC1562" s="100"/>
    </row>
    <row r="1563" spans="28:29">
      <c r="AB1563" s="100"/>
      <c r="AC1563" s="100"/>
    </row>
    <row r="1564" spans="28:29">
      <c r="AB1564" s="100"/>
      <c r="AC1564" s="100"/>
    </row>
    <row r="1565" spans="28:29">
      <c r="AB1565" s="100"/>
      <c r="AC1565" s="100"/>
    </row>
    <row r="1566" spans="28:29">
      <c r="AB1566" s="100"/>
      <c r="AC1566" s="100"/>
    </row>
    <row r="1567" spans="28:29">
      <c r="AB1567" s="100"/>
      <c r="AC1567" s="100"/>
    </row>
    <row r="1568" spans="28:29">
      <c r="AB1568" s="100"/>
      <c r="AC1568" s="100"/>
    </row>
    <row r="1569" spans="28:29">
      <c r="AB1569" s="100"/>
      <c r="AC1569" s="100"/>
    </row>
    <row r="1570" spans="28:29">
      <c r="AB1570" s="100"/>
      <c r="AC1570" s="100"/>
    </row>
    <row r="1571" spans="28:29">
      <c r="AB1571" s="100"/>
      <c r="AC1571" s="100"/>
    </row>
    <row r="1572" spans="28:29">
      <c r="AB1572" s="100"/>
      <c r="AC1572" s="100"/>
    </row>
    <row r="1573" spans="28:29">
      <c r="AB1573" s="100"/>
      <c r="AC1573" s="100"/>
    </row>
    <row r="1574" spans="28:29">
      <c r="AB1574" s="100"/>
      <c r="AC1574" s="100"/>
    </row>
    <row r="1575" spans="28:29">
      <c r="AB1575" s="100"/>
      <c r="AC1575" s="100"/>
    </row>
    <row r="1576" spans="28:29">
      <c r="AB1576" s="100"/>
      <c r="AC1576" s="100"/>
    </row>
    <row r="1577" spans="28:29">
      <c r="AB1577" s="100"/>
      <c r="AC1577" s="100"/>
    </row>
    <row r="1578" spans="28:29">
      <c r="AB1578" s="100"/>
      <c r="AC1578" s="100"/>
    </row>
    <row r="1579" spans="28:29">
      <c r="AB1579" s="100"/>
      <c r="AC1579" s="100"/>
    </row>
    <row r="1580" spans="28:29">
      <c r="AB1580" s="100"/>
      <c r="AC1580" s="100"/>
    </row>
    <row r="1581" spans="28:29">
      <c r="AB1581" s="100"/>
      <c r="AC1581" s="100"/>
    </row>
    <row r="1582" spans="28:29">
      <c r="AB1582" s="100"/>
      <c r="AC1582" s="100"/>
    </row>
    <row r="1583" spans="28:29">
      <c r="AB1583" s="100"/>
      <c r="AC1583" s="100"/>
    </row>
    <row r="1584" spans="28:29">
      <c r="AB1584" s="100"/>
      <c r="AC1584" s="100"/>
    </row>
    <row r="1585" spans="28:29">
      <c r="AB1585" s="100"/>
      <c r="AC1585" s="100"/>
    </row>
    <row r="1586" spans="28:29">
      <c r="AB1586" s="100"/>
      <c r="AC1586" s="100"/>
    </row>
    <row r="1587" spans="28:29">
      <c r="AB1587" s="100"/>
      <c r="AC1587" s="100"/>
    </row>
    <row r="1588" spans="28:29">
      <c r="AB1588" s="100"/>
      <c r="AC1588" s="100"/>
    </row>
    <row r="1589" spans="28:29">
      <c r="AB1589" s="100"/>
      <c r="AC1589" s="100"/>
    </row>
    <row r="1590" spans="28:29">
      <c r="AB1590" s="100"/>
      <c r="AC1590" s="100"/>
    </row>
    <row r="1591" spans="28:29">
      <c r="AB1591" s="100"/>
      <c r="AC1591" s="100"/>
    </row>
    <row r="1592" spans="28:29">
      <c r="AB1592" s="100"/>
      <c r="AC1592" s="100"/>
    </row>
    <row r="1593" spans="28:29">
      <c r="AB1593" s="100"/>
      <c r="AC1593" s="100"/>
    </row>
    <row r="1594" spans="28:29">
      <c r="AB1594" s="100"/>
      <c r="AC1594" s="100"/>
    </row>
    <row r="1595" spans="28:29">
      <c r="AB1595" s="100"/>
      <c r="AC1595" s="100"/>
    </row>
    <row r="1596" spans="28:29">
      <c r="AB1596" s="100"/>
      <c r="AC1596" s="100"/>
    </row>
    <row r="1597" spans="28:29">
      <c r="AB1597" s="100"/>
      <c r="AC1597" s="100"/>
    </row>
    <row r="1598" spans="28:29">
      <c r="AB1598" s="100"/>
      <c r="AC1598" s="100"/>
    </row>
    <row r="1599" spans="28:29">
      <c r="AB1599" s="100"/>
      <c r="AC1599" s="100"/>
    </row>
    <row r="1600" spans="28:29">
      <c r="AB1600" s="100"/>
      <c r="AC1600" s="100"/>
    </row>
    <row r="1601" spans="28:29">
      <c r="AB1601" s="100"/>
      <c r="AC1601" s="100"/>
    </row>
    <row r="1602" spans="28:29">
      <c r="AB1602" s="100"/>
      <c r="AC1602" s="100"/>
    </row>
    <row r="1603" spans="28:29">
      <c r="AB1603" s="100"/>
      <c r="AC1603" s="100"/>
    </row>
    <row r="1604" spans="28:29">
      <c r="AB1604" s="100"/>
      <c r="AC1604" s="100"/>
    </row>
    <row r="1605" spans="28:29">
      <c r="AB1605" s="100"/>
      <c r="AC1605" s="100"/>
    </row>
    <row r="1606" spans="28:29">
      <c r="AB1606" s="100"/>
      <c r="AC1606" s="100"/>
    </row>
    <row r="1607" spans="28:29">
      <c r="AB1607" s="100"/>
      <c r="AC1607" s="100"/>
    </row>
    <row r="1608" spans="28:29">
      <c r="AB1608" s="100"/>
      <c r="AC1608" s="100"/>
    </row>
    <row r="1609" spans="28:29">
      <c r="AB1609" s="100"/>
      <c r="AC1609" s="100"/>
    </row>
    <row r="1610" spans="28:29">
      <c r="AB1610" s="100"/>
      <c r="AC1610" s="100"/>
    </row>
    <row r="1611" spans="28:29">
      <c r="AB1611" s="100"/>
      <c r="AC1611" s="100"/>
    </row>
    <row r="1612" spans="28:29">
      <c r="AB1612" s="100"/>
      <c r="AC1612" s="100"/>
    </row>
    <row r="1613" spans="28:29">
      <c r="AB1613" s="100"/>
      <c r="AC1613" s="100"/>
    </row>
    <row r="1614" spans="28:29">
      <c r="AB1614" s="100"/>
      <c r="AC1614" s="100"/>
    </row>
    <row r="1615" spans="28:29">
      <c r="AB1615" s="100"/>
      <c r="AC1615" s="100"/>
    </row>
    <row r="1616" spans="28:29">
      <c r="AB1616" s="100"/>
      <c r="AC1616" s="100"/>
    </row>
    <row r="1617" spans="28:29">
      <c r="AB1617" s="100"/>
      <c r="AC1617" s="100"/>
    </row>
    <row r="1618" spans="28:29">
      <c r="AB1618" s="100"/>
      <c r="AC1618" s="100"/>
    </row>
    <row r="1619" spans="28:29">
      <c r="AB1619" s="100"/>
      <c r="AC1619" s="100"/>
    </row>
    <row r="1620" spans="28:29">
      <c r="AB1620" s="100"/>
      <c r="AC1620" s="100"/>
    </row>
    <row r="1621" spans="28:29">
      <c r="AB1621" s="100"/>
      <c r="AC1621" s="100"/>
    </row>
    <row r="1622" spans="28:29">
      <c r="AB1622" s="100"/>
      <c r="AC1622" s="100"/>
    </row>
    <row r="1623" spans="28:29">
      <c r="AB1623" s="100"/>
      <c r="AC1623" s="100"/>
    </row>
    <row r="1624" spans="28:29">
      <c r="AB1624" s="100"/>
      <c r="AC1624" s="100"/>
    </row>
    <row r="1625" spans="28:29">
      <c r="AB1625" s="100"/>
      <c r="AC1625" s="100"/>
    </row>
    <row r="1626" spans="28:29">
      <c r="AB1626" s="100"/>
      <c r="AC1626" s="100"/>
    </row>
    <row r="1627" spans="28:29">
      <c r="AB1627" s="100"/>
      <c r="AC1627" s="100"/>
    </row>
    <row r="1628" spans="28:29">
      <c r="AB1628" s="100"/>
      <c r="AC1628" s="100"/>
    </row>
    <row r="1629" spans="28:29">
      <c r="AB1629" s="100"/>
      <c r="AC1629" s="100"/>
    </row>
    <row r="1630" spans="28:29">
      <c r="AB1630" s="100"/>
      <c r="AC1630" s="100"/>
    </row>
    <row r="1631" spans="28:29">
      <c r="AB1631" s="100"/>
      <c r="AC1631" s="100"/>
    </row>
    <row r="1632" spans="28:29">
      <c r="AB1632" s="100"/>
      <c r="AC1632" s="100"/>
    </row>
    <row r="1633" spans="28:29">
      <c r="AB1633" s="100"/>
      <c r="AC1633" s="100"/>
    </row>
    <row r="1634" spans="28:29">
      <c r="AB1634" s="100"/>
      <c r="AC1634" s="100"/>
    </row>
    <row r="1635" spans="28:29">
      <c r="AB1635" s="100"/>
      <c r="AC1635" s="100"/>
    </row>
    <row r="1636" spans="28:29">
      <c r="AB1636" s="100"/>
      <c r="AC1636" s="100"/>
    </row>
    <row r="1637" spans="28:29">
      <c r="AB1637" s="100"/>
      <c r="AC1637" s="100"/>
    </row>
    <row r="1638" spans="28:29">
      <c r="AB1638" s="100"/>
      <c r="AC1638" s="100"/>
    </row>
    <row r="1639" spans="28:29">
      <c r="AB1639" s="100"/>
      <c r="AC1639" s="100"/>
    </row>
    <row r="1640" spans="28:29">
      <c r="AB1640" s="100"/>
      <c r="AC1640" s="100"/>
    </row>
    <row r="1641" spans="28:29">
      <c r="AB1641" s="100"/>
      <c r="AC1641" s="100"/>
    </row>
    <row r="1642" spans="28:29">
      <c r="AB1642" s="100"/>
      <c r="AC1642" s="100"/>
    </row>
    <row r="1643" spans="28:29">
      <c r="AB1643" s="100"/>
      <c r="AC1643" s="100"/>
    </row>
    <row r="1644" spans="28:29">
      <c r="AB1644" s="100"/>
      <c r="AC1644" s="100"/>
    </row>
    <row r="1645" spans="28:29">
      <c r="AB1645" s="100"/>
      <c r="AC1645" s="100"/>
    </row>
    <row r="1646" spans="28:29">
      <c r="AB1646" s="100"/>
      <c r="AC1646" s="100"/>
    </row>
    <row r="1647" spans="28:29">
      <c r="AB1647" s="100"/>
      <c r="AC1647" s="100"/>
    </row>
    <row r="1648" spans="28:29">
      <c r="AB1648" s="100"/>
      <c r="AC1648" s="100"/>
    </row>
    <row r="1649" spans="28:29">
      <c r="AB1649" s="100"/>
      <c r="AC1649" s="100"/>
    </row>
    <row r="1650" spans="28:29">
      <c r="AB1650" s="100"/>
      <c r="AC1650" s="100"/>
    </row>
    <row r="1651" spans="28:29">
      <c r="AB1651" s="100"/>
      <c r="AC1651" s="100"/>
    </row>
    <row r="1652" spans="28:29">
      <c r="AB1652" s="100"/>
      <c r="AC1652" s="100"/>
    </row>
    <row r="1653" spans="28:29">
      <c r="AB1653" s="100"/>
      <c r="AC1653" s="100"/>
    </row>
    <row r="1654" spans="28:29">
      <c r="AB1654" s="100"/>
      <c r="AC1654" s="100"/>
    </row>
    <row r="1655" spans="28:29">
      <c r="AB1655" s="100"/>
      <c r="AC1655" s="100"/>
    </row>
    <row r="1656" spans="28:29">
      <c r="AB1656" s="100"/>
      <c r="AC1656" s="100"/>
    </row>
    <row r="1657" spans="28:29">
      <c r="AB1657" s="100"/>
      <c r="AC1657" s="100"/>
    </row>
    <row r="1658" spans="28:29">
      <c r="AB1658" s="100"/>
      <c r="AC1658" s="100"/>
    </row>
    <row r="1659" spans="28:29">
      <c r="AB1659" s="100"/>
      <c r="AC1659" s="100"/>
    </row>
    <row r="1660" spans="28:29">
      <c r="AB1660" s="100"/>
      <c r="AC1660" s="100"/>
    </row>
    <row r="1661" spans="28:29">
      <c r="AB1661" s="100"/>
      <c r="AC1661" s="100"/>
    </row>
    <row r="1662" spans="28:29">
      <c r="AB1662" s="100"/>
      <c r="AC1662" s="100"/>
    </row>
    <row r="1663" spans="28:29">
      <c r="AB1663" s="100"/>
      <c r="AC1663" s="100"/>
    </row>
    <row r="1664" spans="28:29">
      <c r="AB1664" s="100"/>
      <c r="AC1664" s="100"/>
    </row>
    <row r="1665" spans="28:29">
      <c r="AB1665" s="100"/>
      <c r="AC1665" s="100"/>
    </row>
    <row r="1666" spans="28:29">
      <c r="AB1666" s="100"/>
      <c r="AC1666" s="100"/>
    </row>
    <row r="1667" spans="28:29">
      <c r="AB1667" s="100"/>
      <c r="AC1667" s="100"/>
    </row>
    <row r="1668" spans="28:29">
      <c r="AB1668" s="100"/>
      <c r="AC1668" s="100"/>
    </row>
    <row r="1669" spans="28:29">
      <c r="AB1669" s="100"/>
      <c r="AC1669" s="100"/>
    </row>
    <row r="1670" spans="28:29">
      <c r="AB1670" s="100"/>
      <c r="AC1670" s="100"/>
    </row>
    <row r="1671" spans="28:29">
      <c r="AB1671" s="100"/>
      <c r="AC1671" s="100"/>
    </row>
    <row r="1672" spans="28:29">
      <c r="AB1672" s="100"/>
      <c r="AC1672" s="100"/>
    </row>
    <row r="1673" spans="28:29">
      <c r="AB1673" s="100"/>
      <c r="AC1673" s="100"/>
    </row>
    <row r="1674" spans="28:29">
      <c r="AB1674" s="100"/>
      <c r="AC1674" s="100"/>
    </row>
    <row r="1675" spans="28:29">
      <c r="AB1675" s="100"/>
      <c r="AC1675" s="100"/>
    </row>
    <row r="1676" spans="28:29">
      <c r="AB1676" s="100"/>
      <c r="AC1676" s="100"/>
    </row>
    <row r="1677" spans="28:29">
      <c r="AB1677" s="100"/>
      <c r="AC1677" s="100"/>
    </row>
    <row r="1678" spans="28:29">
      <c r="AB1678" s="100"/>
      <c r="AC1678" s="100"/>
    </row>
    <row r="1679" spans="28:29">
      <c r="AB1679" s="100"/>
      <c r="AC1679" s="100"/>
    </row>
    <row r="1680" spans="28:29">
      <c r="AB1680" s="100"/>
      <c r="AC1680" s="100"/>
    </row>
    <row r="1681" spans="28:29">
      <c r="AB1681" s="100"/>
      <c r="AC1681" s="100"/>
    </row>
    <row r="1682" spans="28:29">
      <c r="AB1682" s="100"/>
      <c r="AC1682" s="100"/>
    </row>
    <row r="1683" spans="28:29">
      <c r="AB1683" s="100"/>
      <c r="AC1683" s="100"/>
    </row>
    <row r="1684" spans="28:29">
      <c r="AB1684" s="100"/>
      <c r="AC1684" s="100"/>
    </row>
    <row r="1685" spans="28:29">
      <c r="AB1685" s="100"/>
      <c r="AC1685" s="100"/>
    </row>
    <row r="1686" spans="28:29">
      <c r="AB1686" s="100"/>
      <c r="AC1686" s="100"/>
    </row>
    <row r="1687" spans="28:29">
      <c r="AB1687" s="100"/>
      <c r="AC1687" s="100"/>
    </row>
    <row r="1688" spans="28:29">
      <c r="AB1688" s="100"/>
      <c r="AC1688" s="100"/>
    </row>
    <row r="1689" spans="28:29">
      <c r="AB1689" s="100"/>
      <c r="AC1689" s="100"/>
    </row>
    <row r="1690" spans="28:29">
      <c r="AB1690" s="100"/>
      <c r="AC1690" s="100"/>
    </row>
    <row r="1691" spans="28:29">
      <c r="AB1691" s="100"/>
      <c r="AC1691" s="100"/>
    </row>
    <row r="1692" spans="28:29">
      <c r="AB1692" s="100"/>
      <c r="AC1692" s="100"/>
    </row>
    <row r="1693" spans="28:29">
      <c r="AB1693" s="100"/>
      <c r="AC1693" s="100"/>
    </row>
    <row r="1694" spans="28:29">
      <c r="AB1694" s="100"/>
      <c r="AC1694" s="100"/>
    </row>
    <row r="1695" spans="28:29">
      <c r="AB1695" s="100"/>
      <c r="AC1695" s="100"/>
    </row>
    <row r="1696" spans="28:29">
      <c r="AB1696" s="100"/>
      <c r="AC1696" s="100"/>
    </row>
    <row r="1697" spans="28:29">
      <c r="AB1697" s="100"/>
      <c r="AC1697" s="100"/>
    </row>
    <row r="1698" spans="28:29">
      <c r="AB1698" s="100"/>
      <c r="AC1698" s="100"/>
    </row>
    <row r="1699" spans="28:29">
      <c r="AB1699" s="100"/>
      <c r="AC1699" s="100"/>
    </row>
    <row r="1700" spans="28:29">
      <c r="AB1700" s="100"/>
      <c r="AC1700" s="100"/>
    </row>
    <row r="1701" spans="28:29">
      <c r="AB1701" s="100"/>
      <c r="AC1701" s="100"/>
    </row>
    <row r="1702" spans="28:29">
      <c r="AB1702" s="100"/>
      <c r="AC1702" s="100"/>
    </row>
    <row r="1703" spans="28:29">
      <c r="AB1703" s="100"/>
      <c r="AC1703" s="100"/>
    </row>
    <row r="1704" spans="28:29">
      <c r="AB1704" s="100"/>
      <c r="AC1704" s="100"/>
    </row>
    <row r="1705" spans="28:29">
      <c r="AB1705" s="100"/>
      <c r="AC1705" s="100"/>
    </row>
    <row r="1706" spans="28:29">
      <c r="AB1706" s="100"/>
      <c r="AC1706" s="100"/>
    </row>
    <row r="1707" spans="28:29">
      <c r="AB1707" s="100"/>
      <c r="AC1707" s="100"/>
    </row>
    <row r="1708" spans="28:29">
      <c r="AB1708" s="100"/>
      <c r="AC1708" s="100"/>
    </row>
    <row r="1709" spans="28:29">
      <c r="AB1709" s="100"/>
      <c r="AC1709" s="100"/>
    </row>
    <row r="1710" spans="28:29">
      <c r="AB1710" s="100"/>
      <c r="AC1710" s="100"/>
    </row>
    <row r="1711" spans="28:29">
      <c r="AB1711" s="100"/>
      <c r="AC1711" s="100"/>
    </row>
    <row r="1712" spans="28:29">
      <c r="AB1712" s="100"/>
      <c r="AC1712" s="100"/>
    </row>
    <row r="1713" spans="28:29">
      <c r="AB1713" s="100"/>
      <c r="AC1713" s="100"/>
    </row>
    <row r="1714" spans="28:29">
      <c r="AB1714" s="100"/>
      <c r="AC1714" s="100"/>
    </row>
    <row r="1715" spans="28:29">
      <c r="AB1715" s="100"/>
      <c r="AC1715" s="100"/>
    </row>
    <row r="1716" spans="28:29">
      <c r="AB1716" s="100"/>
      <c r="AC1716" s="100"/>
    </row>
    <row r="1717" spans="28:29">
      <c r="AB1717" s="100"/>
      <c r="AC1717" s="100"/>
    </row>
    <row r="1718" spans="28:29">
      <c r="AB1718" s="100"/>
      <c r="AC1718" s="100"/>
    </row>
    <row r="1719" spans="28:29">
      <c r="AB1719" s="100"/>
      <c r="AC1719" s="100"/>
    </row>
    <row r="1720" spans="28:29">
      <c r="AB1720" s="100"/>
      <c r="AC1720" s="100"/>
    </row>
    <row r="1721" spans="28:29">
      <c r="AB1721" s="100"/>
      <c r="AC1721" s="100"/>
    </row>
    <row r="1722" spans="28:29">
      <c r="AB1722" s="100"/>
      <c r="AC1722" s="100"/>
    </row>
    <row r="1723" spans="28:29">
      <c r="AB1723" s="100"/>
      <c r="AC1723" s="100"/>
    </row>
    <row r="1724" spans="28:29">
      <c r="AB1724" s="100"/>
      <c r="AC1724" s="100"/>
    </row>
    <row r="1725" spans="28:29">
      <c r="AB1725" s="100"/>
      <c r="AC1725" s="100"/>
    </row>
    <row r="1726" spans="28:29">
      <c r="AB1726" s="100"/>
      <c r="AC1726" s="100"/>
    </row>
    <row r="1727" spans="28:29">
      <c r="AB1727" s="100"/>
      <c r="AC1727" s="100"/>
    </row>
    <row r="1728" spans="28:29">
      <c r="AB1728" s="100"/>
      <c r="AC1728" s="100"/>
    </row>
    <row r="1729" spans="28:29">
      <c r="AB1729" s="100"/>
      <c r="AC1729" s="100"/>
    </row>
    <row r="1730" spans="28:29">
      <c r="AB1730" s="100"/>
      <c r="AC1730" s="100"/>
    </row>
    <row r="1731" spans="28:29">
      <c r="AB1731" s="100"/>
      <c r="AC1731" s="100"/>
    </row>
    <row r="1732" spans="28:29">
      <c r="AB1732" s="100"/>
      <c r="AC1732" s="100"/>
    </row>
    <row r="1733" spans="28:29">
      <c r="AB1733" s="100"/>
      <c r="AC1733" s="100"/>
    </row>
    <row r="1734" spans="28:29">
      <c r="AB1734" s="100"/>
      <c r="AC1734" s="100"/>
    </row>
    <row r="1735" spans="28:29">
      <c r="AB1735" s="100"/>
      <c r="AC1735" s="100"/>
    </row>
    <row r="1736" spans="28:29">
      <c r="AB1736" s="100"/>
      <c r="AC1736" s="100"/>
    </row>
    <row r="1737" spans="28:29">
      <c r="AB1737" s="100"/>
      <c r="AC1737" s="100"/>
    </row>
    <row r="1738" spans="28:29">
      <c r="AB1738" s="100"/>
      <c r="AC1738" s="100"/>
    </row>
    <row r="1739" spans="28:29">
      <c r="AB1739" s="100"/>
      <c r="AC1739" s="100"/>
    </row>
    <row r="1740" spans="28:29">
      <c r="AB1740" s="100"/>
      <c r="AC1740" s="100"/>
    </row>
    <row r="1741" spans="28:29">
      <c r="AB1741" s="100"/>
      <c r="AC1741" s="100"/>
    </row>
    <row r="1742" spans="28:29">
      <c r="AB1742" s="100"/>
      <c r="AC1742" s="100"/>
    </row>
    <row r="1743" spans="28:29">
      <c r="AB1743" s="100"/>
      <c r="AC1743" s="100"/>
    </row>
    <row r="1744" spans="28:29">
      <c r="AB1744" s="100"/>
      <c r="AC1744" s="100"/>
    </row>
    <row r="1745" spans="28:29">
      <c r="AB1745" s="100"/>
      <c r="AC1745" s="100"/>
    </row>
    <row r="1746" spans="28:29">
      <c r="AB1746" s="100"/>
      <c r="AC1746" s="100"/>
    </row>
    <row r="1747" spans="28:29">
      <c r="AB1747" s="100"/>
      <c r="AC1747" s="100"/>
    </row>
    <row r="1748" spans="28:29">
      <c r="AB1748" s="100"/>
      <c r="AC1748" s="100"/>
    </row>
    <row r="1749" spans="28:29">
      <c r="AB1749" s="100"/>
      <c r="AC1749" s="100"/>
    </row>
    <row r="1750" spans="28:29">
      <c r="AB1750" s="100"/>
      <c r="AC1750" s="100"/>
    </row>
    <row r="1751" spans="28:29">
      <c r="AB1751" s="100"/>
      <c r="AC1751" s="100"/>
    </row>
    <row r="1752" spans="28:29">
      <c r="AB1752" s="100"/>
      <c r="AC1752" s="100"/>
    </row>
    <row r="1753" spans="28:29">
      <c r="AB1753" s="100"/>
      <c r="AC1753" s="100"/>
    </row>
    <row r="1754" spans="28:29">
      <c r="AB1754" s="100"/>
      <c r="AC1754" s="100"/>
    </row>
    <row r="1755" spans="28:29">
      <c r="AB1755" s="100"/>
      <c r="AC1755" s="100"/>
    </row>
    <row r="1756" spans="28:29">
      <c r="AB1756" s="100"/>
      <c r="AC1756" s="100"/>
    </row>
    <row r="1757" spans="28:29">
      <c r="AB1757" s="100"/>
      <c r="AC1757" s="100"/>
    </row>
    <row r="1758" spans="28:29">
      <c r="AB1758" s="100"/>
      <c r="AC1758" s="100"/>
    </row>
    <row r="1759" spans="28:29">
      <c r="AB1759" s="100"/>
      <c r="AC1759" s="100"/>
    </row>
    <row r="1760" spans="28:29">
      <c r="AB1760" s="100"/>
      <c r="AC1760" s="100"/>
    </row>
    <row r="1761" spans="28:29">
      <c r="AB1761" s="100"/>
      <c r="AC1761" s="100"/>
    </row>
    <row r="1762" spans="28:29">
      <c r="AB1762" s="100"/>
      <c r="AC1762" s="100"/>
    </row>
    <row r="1763" spans="28:29">
      <c r="AB1763" s="100"/>
      <c r="AC1763" s="100"/>
    </row>
    <row r="1764" spans="28:29">
      <c r="AB1764" s="100"/>
      <c r="AC1764" s="100"/>
    </row>
    <row r="1765" spans="28:29">
      <c r="AB1765" s="100"/>
      <c r="AC1765" s="100"/>
    </row>
    <row r="1766" spans="28:29">
      <c r="AB1766" s="100"/>
      <c r="AC1766" s="100"/>
    </row>
    <row r="1767" spans="28:29">
      <c r="AB1767" s="100"/>
      <c r="AC1767" s="100"/>
    </row>
    <row r="1768" spans="28:29">
      <c r="AB1768" s="100"/>
      <c r="AC1768" s="100"/>
    </row>
    <row r="1769" spans="28:29">
      <c r="AB1769" s="100"/>
      <c r="AC1769" s="100"/>
    </row>
    <row r="1770" spans="28:29">
      <c r="AB1770" s="100"/>
      <c r="AC1770" s="100"/>
    </row>
    <row r="1771" spans="28:29">
      <c r="AB1771" s="100"/>
      <c r="AC1771" s="100"/>
    </row>
    <row r="1772" spans="28:29">
      <c r="AB1772" s="100"/>
      <c r="AC1772" s="100"/>
    </row>
    <row r="1773" spans="28:29">
      <c r="AB1773" s="100"/>
      <c r="AC1773" s="100"/>
    </row>
    <row r="1774" spans="28:29">
      <c r="AB1774" s="100"/>
      <c r="AC1774" s="100"/>
    </row>
    <row r="1775" spans="28:29">
      <c r="AB1775" s="100"/>
      <c r="AC1775" s="100"/>
    </row>
    <row r="1776" spans="28:29">
      <c r="AB1776" s="100"/>
      <c r="AC1776" s="100"/>
    </row>
    <row r="1777" spans="28:29">
      <c r="AB1777" s="100"/>
      <c r="AC1777" s="100"/>
    </row>
    <row r="1778" spans="28:29">
      <c r="AB1778" s="100"/>
      <c r="AC1778" s="100"/>
    </row>
    <row r="1779" spans="28:29">
      <c r="AB1779" s="100"/>
      <c r="AC1779" s="100"/>
    </row>
    <row r="1780" spans="28:29">
      <c r="AB1780" s="100"/>
      <c r="AC1780" s="100"/>
    </row>
    <row r="1781" spans="28:29">
      <c r="AB1781" s="100"/>
      <c r="AC1781" s="100"/>
    </row>
    <row r="1782" spans="28:29">
      <c r="AB1782" s="100"/>
      <c r="AC1782" s="100"/>
    </row>
    <row r="1783" spans="28:29">
      <c r="AB1783" s="100"/>
      <c r="AC1783" s="100"/>
    </row>
    <row r="1784" spans="28:29">
      <c r="AB1784" s="100"/>
      <c r="AC1784" s="100"/>
    </row>
    <row r="1785" spans="28:29">
      <c r="AB1785" s="100"/>
      <c r="AC1785" s="100"/>
    </row>
    <row r="1786" spans="28:29">
      <c r="AB1786" s="100"/>
      <c r="AC1786" s="100"/>
    </row>
    <row r="1787" spans="28:29">
      <c r="AB1787" s="100"/>
      <c r="AC1787" s="100"/>
    </row>
    <row r="1788" spans="28:29">
      <c r="AB1788" s="100"/>
      <c r="AC1788" s="100"/>
    </row>
    <row r="1789" spans="28:29">
      <c r="AB1789" s="100"/>
      <c r="AC1789" s="100"/>
    </row>
    <row r="1790" spans="28:29">
      <c r="AB1790" s="100"/>
      <c r="AC1790" s="100"/>
    </row>
    <row r="1791" spans="28:29">
      <c r="AB1791" s="100"/>
      <c r="AC1791" s="100"/>
    </row>
    <row r="1792" spans="28:29">
      <c r="AB1792" s="100"/>
      <c r="AC1792" s="100"/>
    </row>
    <row r="1793" spans="28:29">
      <c r="AB1793" s="100"/>
      <c r="AC1793" s="100"/>
    </row>
    <row r="1794" spans="28:29">
      <c r="AB1794" s="100"/>
      <c r="AC1794" s="100"/>
    </row>
    <row r="1795" spans="28:29">
      <c r="AB1795" s="100"/>
      <c r="AC1795" s="100"/>
    </row>
    <row r="1796" spans="28:29">
      <c r="AB1796" s="100"/>
      <c r="AC1796" s="100"/>
    </row>
    <row r="1797" spans="28:29">
      <c r="AB1797" s="100"/>
      <c r="AC1797" s="100"/>
    </row>
    <row r="1798" spans="28:29">
      <c r="AB1798" s="100"/>
      <c r="AC1798" s="100"/>
    </row>
    <row r="1799" spans="28:29">
      <c r="AB1799" s="100"/>
      <c r="AC1799" s="100"/>
    </row>
    <row r="1800" spans="28:29">
      <c r="AB1800" s="100"/>
      <c r="AC1800" s="100"/>
    </row>
    <row r="1801" spans="28:29">
      <c r="AB1801" s="100"/>
      <c r="AC1801" s="100"/>
    </row>
    <row r="1802" spans="28:29">
      <c r="AB1802" s="100"/>
      <c r="AC1802" s="100"/>
    </row>
    <row r="1803" spans="28:29">
      <c r="AB1803" s="100"/>
      <c r="AC1803" s="100"/>
    </row>
    <row r="1804" spans="28:29">
      <c r="AB1804" s="100"/>
      <c r="AC1804" s="100"/>
    </row>
    <row r="1805" spans="28:29">
      <c r="AB1805" s="100"/>
      <c r="AC1805" s="100"/>
    </row>
    <row r="1806" spans="28:29">
      <c r="AB1806" s="100"/>
      <c r="AC1806" s="100"/>
    </row>
    <row r="1807" spans="28:29">
      <c r="AB1807" s="100"/>
      <c r="AC1807" s="100"/>
    </row>
    <row r="1808" spans="28:29">
      <c r="AB1808" s="100"/>
      <c r="AC1808" s="100"/>
    </row>
    <row r="1809" spans="28:29">
      <c r="AB1809" s="100"/>
      <c r="AC1809" s="100"/>
    </row>
    <row r="1810" spans="28:29">
      <c r="AB1810" s="100"/>
      <c r="AC1810" s="100"/>
    </row>
    <row r="1811" spans="28:29">
      <c r="AB1811" s="100"/>
      <c r="AC1811" s="100"/>
    </row>
    <row r="1812" spans="28:29">
      <c r="AB1812" s="100"/>
      <c r="AC1812" s="100"/>
    </row>
    <row r="1813" spans="28:29">
      <c r="AB1813" s="100"/>
      <c r="AC1813" s="100"/>
    </row>
    <row r="1814" spans="28:29">
      <c r="AB1814" s="100"/>
      <c r="AC1814" s="100"/>
    </row>
    <row r="1815" spans="28:29">
      <c r="AB1815" s="100"/>
      <c r="AC1815" s="100"/>
    </row>
    <row r="1816" spans="28:29">
      <c r="AB1816" s="100"/>
      <c r="AC1816" s="100"/>
    </row>
    <row r="1817" spans="28:29">
      <c r="AB1817" s="100"/>
      <c r="AC1817" s="100"/>
    </row>
    <row r="1818" spans="28:29">
      <c r="AB1818" s="100"/>
      <c r="AC1818" s="100"/>
    </row>
    <row r="1819" spans="28:29">
      <c r="AB1819" s="100"/>
      <c r="AC1819" s="100"/>
    </row>
    <row r="1820" spans="28:29">
      <c r="AB1820" s="100"/>
      <c r="AC1820" s="100"/>
    </row>
    <row r="1821" spans="28:29">
      <c r="AB1821" s="100"/>
      <c r="AC1821" s="100"/>
    </row>
    <row r="1822" spans="28:29">
      <c r="AB1822" s="100"/>
      <c r="AC1822" s="100"/>
    </row>
    <row r="1823" spans="28:29">
      <c r="AB1823" s="100"/>
      <c r="AC1823" s="100"/>
    </row>
    <row r="1824" spans="28:29">
      <c r="AB1824" s="100"/>
      <c r="AC1824" s="100"/>
    </row>
    <row r="1825" spans="28:29">
      <c r="AB1825" s="100"/>
      <c r="AC1825" s="100"/>
    </row>
    <row r="1826" spans="28:29">
      <c r="AB1826" s="100"/>
      <c r="AC1826" s="100"/>
    </row>
    <row r="1827" spans="28:29">
      <c r="AB1827" s="100"/>
      <c r="AC1827" s="100"/>
    </row>
    <row r="1828" spans="28:29">
      <c r="AB1828" s="100"/>
      <c r="AC1828" s="100"/>
    </row>
    <row r="1829" spans="28:29">
      <c r="AB1829" s="100"/>
      <c r="AC1829" s="100"/>
    </row>
    <row r="1830" spans="28:29">
      <c r="AB1830" s="100"/>
      <c r="AC1830" s="100"/>
    </row>
    <row r="1831" spans="28:29">
      <c r="AB1831" s="100"/>
      <c r="AC1831" s="100"/>
    </row>
    <row r="1832" spans="28:29">
      <c r="AB1832" s="100"/>
      <c r="AC1832" s="100"/>
    </row>
    <row r="1833" spans="28:29">
      <c r="AB1833" s="100"/>
      <c r="AC1833" s="100"/>
    </row>
    <row r="1834" spans="28:29">
      <c r="AB1834" s="100"/>
      <c r="AC1834" s="100"/>
    </row>
    <row r="1835" spans="28:29">
      <c r="AB1835" s="100"/>
      <c r="AC1835" s="100"/>
    </row>
    <row r="1836" spans="28:29">
      <c r="AB1836" s="100"/>
      <c r="AC1836" s="100"/>
    </row>
    <row r="1837" spans="28:29">
      <c r="AB1837" s="100"/>
      <c r="AC1837" s="100"/>
    </row>
    <row r="1838" spans="28:29">
      <c r="AB1838" s="100"/>
      <c r="AC1838" s="100"/>
    </row>
    <row r="1839" spans="28:29">
      <c r="AB1839" s="100"/>
      <c r="AC1839" s="100"/>
    </row>
    <row r="1840" spans="28:29">
      <c r="AB1840" s="100"/>
      <c r="AC1840" s="100"/>
    </row>
    <row r="1841" spans="28:29">
      <c r="AB1841" s="100"/>
      <c r="AC1841" s="100"/>
    </row>
    <row r="1842" spans="28:29">
      <c r="AB1842" s="100"/>
      <c r="AC1842" s="100"/>
    </row>
    <row r="1843" spans="28:29">
      <c r="AB1843" s="100"/>
      <c r="AC1843" s="100"/>
    </row>
    <row r="1844" spans="28:29">
      <c r="AB1844" s="100"/>
      <c r="AC1844" s="100"/>
    </row>
    <row r="1845" spans="28:29">
      <c r="AB1845" s="100"/>
      <c r="AC1845" s="100"/>
    </row>
    <row r="1846" spans="28:29">
      <c r="AB1846" s="100"/>
      <c r="AC1846" s="100"/>
    </row>
    <row r="1847" spans="28:29">
      <c r="AB1847" s="100"/>
      <c r="AC1847" s="100"/>
    </row>
    <row r="1848" spans="28:29">
      <c r="AB1848" s="100"/>
      <c r="AC1848" s="100"/>
    </row>
    <row r="1849" spans="28:29">
      <c r="AB1849" s="100"/>
      <c r="AC1849" s="100"/>
    </row>
    <row r="1850" spans="28:29">
      <c r="AB1850" s="100"/>
      <c r="AC1850" s="100"/>
    </row>
    <row r="1851" spans="28:29">
      <c r="AB1851" s="100"/>
      <c r="AC1851" s="100"/>
    </row>
    <row r="1852" spans="28:29">
      <c r="AB1852" s="100"/>
      <c r="AC1852" s="100"/>
    </row>
    <row r="1853" spans="28:29">
      <c r="AB1853" s="100"/>
      <c r="AC1853" s="100"/>
    </row>
    <row r="1854" spans="28:29">
      <c r="AB1854" s="100"/>
      <c r="AC1854" s="100"/>
    </row>
    <row r="1855" spans="28:29">
      <c r="AB1855" s="100"/>
      <c r="AC1855" s="100"/>
    </row>
    <row r="1856" spans="28:29">
      <c r="AB1856" s="100"/>
      <c r="AC1856" s="100"/>
    </row>
    <row r="1857" spans="28:29">
      <c r="AB1857" s="100"/>
      <c r="AC1857" s="100"/>
    </row>
    <row r="1858" spans="28:29">
      <c r="AB1858" s="100"/>
      <c r="AC1858" s="100"/>
    </row>
    <row r="1859" spans="28:29">
      <c r="AB1859" s="100"/>
      <c r="AC1859" s="100"/>
    </row>
    <row r="1860" spans="28:29">
      <c r="AB1860" s="100"/>
      <c r="AC1860" s="100"/>
    </row>
    <row r="1861" spans="28:29">
      <c r="AB1861" s="100"/>
      <c r="AC1861" s="100"/>
    </row>
    <row r="1862" spans="28:29">
      <c r="AB1862" s="100"/>
      <c r="AC1862" s="100"/>
    </row>
    <row r="1863" spans="28:29">
      <c r="AB1863" s="100"/>
      <c r="AC1863" s="100"/>
    </row>
    <row r="1864" spans="28:29">
      <c r="AB1864" s="100"/>
      <c r="AC1864" s="100"/>
    </row>
    <row r="1865" spans="28:29">
      <c r="AB1865" s="100"/>
      <c r="AC1865" s="100"/>
    </row>
    <row r="1866" spans="28:29">
      <c r="AB1866" s="100"/>
      <c r="AC1866" s="100"/>
    </row>
    <row r="1867" spans="28:29">
      <c r="AB1867" s="100"/>
      <c r="AC1867" s="100"/>
    </row>
    <row r="1868" spans="28:29">
      <c r="AB1868" s="100"/>
      <c r="AC1868" s="100"/>
    </row>
    <row r="1869" spans="28:29">
      <c r="AB1869" s="100"/>
      <c r="AC1869" s="100"/>
    </row>
    <row r="1870" spans="28:29">
      <c r="AB1870" s="100"/>
      <c r="AC1870" s="100"/>
    </row>
    <row r="1871" spans="28:29">
      <c r="AB1871" s="100"/>
      <c r="AC1871" s="100"/>
    </row>
    <row r="1872" spans="28:29">
      <c r="AB1872" s="100"/>
      <c r="AC1872" s="100"/>
    </row>
    <row r="1873" spans="28:29">
      <c r="AB1873" s="100"/>
      <c r="AC1873" s="100"/>
    </row>
    <row r="1874" spans="28:29">
      <c r="AB1874" s="100"/>
      <c r="AC1874" s="100"/>
    </row>
    <row r="1875" spans="28:29">
      <c r="AB1875" s="100"/>
      <c r="AC1875" s="100"/>
    </row>
    <row r="1876" spans="28:29">
      <c r="AB1876" s="100"/>
      <c r="AC1876" s="100"/>
    </row>
    <row r="1877" spans="28:29">
      <c r="AB1877" s="100"/>
      <c r="AC1877" s="100"/>
    </row>
    <row r="1878" spans="28:29">
      <c r="AB1878" s="100"/>
      <c r="AC1878" s="100"/>
    </row>
    <row r="1879" spans="28:29">
      <c r="AB1879" s="100"/>
      <c r="AC1879" s="100"/>
    </row>
    <row r="1880" spans="28:29">
      <c r="AB1880" s="100"/>
      <c r="AC1880" s="100"/>
    </row>
    <row r="1881" spans="28:29">
      <c r="AB1881" s="100"/>
      <c r="AC1881" s="100"/>
    </row>
    <row r="1882" spans="28:29">
      <c r="AB1882" s="100"/>
      <c r="AC1882" s="100"/>
    </row>
    <row r="1883" spans="28:29">
      <c r="AB1883" s="100"/>
      <c r="AC1883" s="100"/>
    </row>
    <row r="1884" spans="28:29">
      <c r="AB1884" s="100"/>
      <c r="AC1884" s="100"/>
    </row>
    <row r="1885" spans="28:29">
      <c r="AB1885" s="100"/>
      <c r="AC1885" s="100"/>
    </row>
    <row r="1886" spans="28:29">
      <c r="AB1886" s="100"/>
      <c r="AC1886" s="100"/>
    </row>
    <row r="1887" spans="28:29">
      <c r="AB1887" s="100"/>
      <c r="AC1887" s="100"/>
    </row>
    <row r="1888" spans="28:29">
      <c r="AB1888" s="100"/>
      <c r="AC1888" s="100"/>
    </row>
    <row r="1889" spans="28:29">
      <c r="AB1889" s="100"/>
      <c r="AC1889" s="100"/>
    </row>
    <row r="1890" spans="28:29">
      <c r="AB1890" s="100"/>
      <c r="AC1890" s="100"/>
    </row>
    <row r="1891" spans="28:29">
      <c r="AB1891" s="100"/>
      <c r="AC1891" s="100"/>
    </row>
    <row r="1892" spans="28:29">
      <c r="AB1892" s="100"/>
      <c r="AC1892" s="100"/>
    </row>
    <row r="1893" spans="28:29">
      <c r="AB1893" s="100"/>
      <c r="AC1893" s="100"/>
    </row>
    <row r="1894" spans="28:29">
      <c r="AB1894" s="100"/>
      <c r="AC1894" s="100"/>
    </row>
    <row r="1895" spans="28:29">
      <c r="AB1895" s="100"/>
      <c r="AC1895" s="100"/>
    </row>
    <row r="1896" spans="28:29">
      <c r="AB1896" s="100"/>
      <c r="AC1896" s="100"/>
    </row>
    <row r="1897" spans="28:29">
      <c r="AB1897" s="100"/>
      <c r="AC1897" s="100"/>
    </row>
    <row r="1898" spans="28:29">
      <c r="AB1898" s="100"/>
      <c r="AC1898" s="100"/>
    </row>
    <row r="1899" spans="28:29">
      <c r="AB1899" s="100"/>
      <c r="AC1899" s="100"/>
    </row>
    <row r="1900" spans="28:29">
      <c r="AB1900" s="100"/>
      <c r="AC1900" s="100"/>
    </row>
    <row r="1901" spans="28:29">
      <c r="AB1901" s="100"/>
      <c r="AC1901" s="100"/>
    </row>
    <row r="1902" spans="28:29">
      <c r="AB1902" s="100"/>
      <c r="AC1902" s="100"/>
    </row>
    <row r="1903" spans="28:29">
      <c r="AB1903" s="100"/>
      <c r="AC1903" s="100"/>
    </row>
    <row r="1904" spans="28:29">
      <c r="AB1904" s="100"/>
      <c r="AC1904" s="100"/>
    </row>
    <row r="1905" spans="28:29">
      <c r="AB1905" s="100"/>
      <c r="AC1905" s="100"/>
    </row>
    <row r="1906" spans="28:29">
      <c r="AB1906" s="100"/>
      <c r="AC1906" s="100"/>
    </row>
    <row r="1907" spans="28:29">
      <c r="AB1907" s="100"/>
      <c r="AC1907" s="100"/>
    </row>
    <row r="1908" spans="28:29">
      <c r="AB1908" s="100"/>
      <c r="AC1908" s="100"/>
    </row>
    <row r="1909" spans="28:29">
      <c r="AB1909" s="100"/>
      <c r="AC1909" s="100"/>
    </row>
    <row r="1910" spans="28:29">
      <c r="AB1910" s="100"/>
      <c r="AC1910" s="100"/>
    </row>
    <row r="1911" spans="28:29">
      <c r="AB1911" s="100"/>
      <c r="AC1911" s="100"/>
    </row>
    <row r="1912" spans="28:29">
      <c r="AB1912" s="100"/>
      <c r="AC1912" s="100"/>
    </row>
    <row r="1913" spans="28:29">
      <c r="AB1913" s="100"/>
      <c r="AC1913" s="100"/>
    </row>
    <row r="1914" spans="28:29">
      <c r="AB1914" s="100"/>
      <c r="AC1914" s="100"/>
    </row>
    <row r="1915" spans="28:29">
      <c r="AB1915" s="100"/>
      <c r="AC1915" s="100"/>
    </row>
    <row r="1916" spans="28:29">
      <c r="AB1916" s="100"/>
      <c r="AC1916" s="100"/>
    </row>
    <row r="1917" spans="28:29">
      <c r="AB1917" s="100"/>
      <c r="AC1917" s="100"/>
    </row>
    <row r="1918" spans="28:29">
      <c r="AB1918" s="100"/>
      <c r="AC1918" s="100"/>
    </row>
    <row r="1919" spans="28:29">
      <c r="AB1919" s="100"/>
      <c r="AC1919" s="100"/>
    </row>
    <row r="1920" spans="28:29">
      <c r="AB1920" s="100"/>
      <c r="AC1920" s="100"/>
    </row>
    <row r="1921" spans="28:29">
      <c r="AB1921" s="100"/>
      <c r="AC1921" s="100"/>
    </row>
    <row r="1922" spans="28:29">
      <c r="AB1922" s="100"/>
      <c r="AC1922" s="100"/>
    </row>
    <row r="1923" spans="28:29">
      <c r="AB1923" s="100"/>
      <c r="AC1923" s="100"/>
    </row>
    <row r="1924" spans="28:29">
      <c r="AB1924" s="100"/>
      <c r="AC1924" s="100"/>
    </row>
    <row r="1925" spans="28:29">
      <c r="AB1925" s="100"/>
      <c r="AC1925" s="100"/>
    </row>
    <row r="1926" spans="28:29">
      <c r="AB1926" s="100"/>
      <c r="AC1926" s="100"/>
    </row>
    <row r="1927" spans="28:29">
      <c r="AB1927" s="100"/>
      <c r="AC1927" s="100"/>
    </row>
    <row r="1928" spans="28:29">
      <c r="AB1928" s="100"/>
      <c r="AC1928" s="100"/>
    </row>
    <row r="1929" spans="28:29">
      <c r="AB1929" s="100"/>
      <c r="AC1929" s="100"/>
    </row>
    <row r="1930" spans="28:29">
      <c r="AB1930" s="100"/>
      <c r="AC1930" s="100"/>
    </row>
    <row r="1931" spans="28:29">
      <c r="AB1931" s="100"/>
      <c r="AC1931" s="100"/>
    </row>
    <row r="1932" spans="28:29">
      <c r="AB1932" s="100"/>
      <c r="AC1932" s="100"/>
    </row>
    <row r="1933" spans="28:29">
      <c r="AB1933" s="100"/>
      <c r="AC1933" s="100"/>
    </row>
    <row r="1934" spans="28:29">
      <c r="AB1934" s="100"/>
      <c r="AC1934" s="100"/>
    </row>
    <row r="1935" spans="28:29">
      <c r="AB1935" s="100"/>
      <c r="AC1935" s="100"/>
    </row>
    <row r="1936" spans="28:29">
      <c r="AB1936" s="100"/>
      <c r="AC1936" s="100"/>
    </row>
    <row r="1937" spans="28:29">
      <c r="AB1937" s="100"/>
      <c r="AC1937" s="100"/>
    </row>
    <row r="1938" spans="28:29">
      <c r="AB1938" s="100"/>
      <c r="AC1938" s="100"/>
    </row>
    <row r="1939" spans="28:29">
      <c r="AB1939" s="100"/>
      <c r="AC1939" s="100"/>
    </row>
    <row r="1940" spans="28:29">
      <c r="AB1940" s="100"/>
      <c r="AC1940" s="100"/>
    </row>
    <row r="1941" spans="28:29">
      <c r="AB1941" s="100"/>
      <c r="AC1941" s="100"/>
    </row>
    <row r="1942" spans="28:29">
      <c r="AB1942" s="100"/>
      <c r="AC1942" s="100"/>
    </row>
    <row r="1943" spans="28:29">
      <c r="AB1943" s="100"/>
      <c r="AC1943" s="100"/>
    </row>
    <row r="1944" spans="28:29">
      <c r="AB1944" s="100"/>
      <c r="AC1944" s="100"/>
    </row>
    <row r="1945" spans="28:29">
      <c r="AB1945" s="100"/>
      <c r="AC1945" s="100"/>
    </row>
    <row r="1946" spans="28:29">
      <c r="AB1946" s="100"/>
      <c r="AC1946" s="100"/>
    </row>
    <row r="1947" spans="28:29">
      <c r="AB1947" s="100"/>
      <c r="AC1947" s="100"/>
    </row>
    <row r="1948" spans="28:29">
      <c r="AB1948" s="100"/>
      <c r="AC1948" s="100"/>
    </row>
    <row r="1949" spans="28:29">
      <c r="AB1949" s="100"/>
      <c r="AC1949" s="100"/>
    </row>
    <row r="1950" spans="28:29">
      <c r="AB1950" s="100"/>
      <c r="AC1950" s="100"/>
    </row>
    <row r="1951" spans="28:29">
      <c r="AB1951" s="100"/>
      <c r="AC1951" s="100"/>
    </row>
    <row r="1952" spans="28:29">
      <c r="AB1952" s="100"/>
      <c r="AC1952" s="100"/>
    </row>
    <row r="1953" spans="28:29">
      <c r="AB1953" s="100"/>
      <c r="AC1953" s="100"/>
    </row>
    <row r="1954" spans="28:29">
      <c r="AB1954" s="100"/>
      <c r="AC1954" s="100"/>
    </row>
    <row r="1955" spans="28:29">
      <c r="AB1955" s="100"/>
      <c r="AC1955" s="100"/>
    </row>
    <row r="1956" spans="28:29">
      <c r="AB1956" s="100"/>
      <c r="AC1956" s="100"/>
    </row>
    <row r="1957" spans="28:29">
      <c r="AB1957" s="100"/>
      <c r="AC1957" s="100"/>
    </row>
    <row r="1958" spans="28:29">
      <c r="AB1958" s="100"/>
      <c r="AC1958" s="100"/>
    </row>
    <row r="1959" spans="28:29">
      <c r="AB1959" s="100"/>
      <c r="AC1959" s="100"/>
    </row>
    <row r="1960" spans="28:29">
      <c r="AB1960" s="100"/>
      <c r="AC1960" s="100"/>
    </row>
    <row r="1961" spans="28:29">
      <c r="AB1961" s="100"/>
      <c r="AC1961" s="100"/>
    </row>
    <row r="1962" spans="28:29">
      <c r="AB1962" s="100"/>
      <c r="AC1962" s="100"/>
    </row>
    <row r="1963" spans="28:29">
      <c r="AB1963" s="100"/>
      <c r="AC1963" s="100"/>
    </row>
    <row r="1964" spans="28:29">
      <c r="AB1964" s="100"/>
      <c r="AC1964" s="100"/>
    </row>
    <row r="1965" spans="28:29">
      <c r="AB1965" s="100"/>
      <c r="AC1965" s="100"/>
    </row>
    <row r="1966" spans="28:29">
      <c r="AB1966" s="100"/>
      <c r="AC1966" s="100"/>
    </row>
    <row r="1967" spans="28:29">
      <c r="AB1967" s="100"/>
      <c r="AC1967" s="100"/>
    </row>
    <row r="1968" spans="28:29">
      <c r="AB1968" s="100"/>
      <c r="AC1968" s="100"/>
    </row>
    <row r="1969" spans="28:29">
      <c r="AB1969" s="100"/>
      <c r="AC1969" s="100"/>
    </row>
    <row r="1970" spans="28:29">
      <c r="AB1970" s="100"/>
      <c r="AC1970" s="100"/>
    </row>
    <row r="1971" spans="28:29">
      <c r="AB1971" s="100"/>
      <c r="AC1971" s="100"/>
    </row>
    <row r="1972" spans="28:29">
      <c r="AB1972" s="100"/>
      <c r="AC1972" s="100"/>
    </row>
    <row r="1973" spans="28:29">
      <c r="AB1973" s="100"/>
      <c r="AC1973" s="100"/>
    </row>
    <row r="1974" spans="28:29">
      <c r="AB1974" s="100"/>
      <c r="AC1974" s="100"/>
    </row>
    <row r="1975" spans="28:29">
      <c r="AB1975" s="100"/>
      <c r="AC1975" s="100"/>
    </row>
    <row r="1976" spans="28:29">
      <c r="AB1976" s="100"/>
      <c r="AC1976" s="100"/>
    </row>
    <row r="1977" spans="28:29">
      <c r="AB1977" s="100"/>
      <c r="AC1977" s="100"/>
    </row>
    <row r="1978" spans="28:29">
      <c r="AB1978" s="100"/>
      <c r="AC1978" s="100"/>
    </row>
    <row r="1979" spans="28:29">
      <c r="AB1979" s="100"/>
      <c r="AC1979" s="100"/>
    </row>
    <row r="1980" spans="28:29">
      <c r="AB1980" s="100"/>
      <c r="AC1980" s="100"/>
    </row>
    <row r="1981" spans="28:29">
      <c r="AB1981" s="100"/>
      <c r="AC1981" s="100"/>
    </row>
    <row r="1982" spans="28:29">
      <c r="AB1982" s="100"/>
      <c r="AC1982" s="100"/>
    </row>
    <row r="1983" spans="28:29">
      <c r="AB1983" s="100"/>
      <c r="AC1983" s="100"/>
    </row>
    <row r="1984" spans="28:29">
      <c r="AB1984" s="100"/>
      <c r="AC1984" s="100"/>
    </row>
    <row r="1985" spans="28:29">
      <c r="AB1985" s="100"/>
      <c r="AC1985" s="100"/>
    </row>
    <row r="1986" spans="28:29">
      <c r="AB1986" s="100"/>
      <c r="AC1986" s="100"/>
    </row>
    <row r="1987" spans="28:29">
      <c r="AB1987" s="100"/>
      <c r="AC1987" s="100"/>
    </row>
    <row r="1988" spans="28:29">
      <c r="AB1988" s="100"/>
      <c r="AC1988" s="100"/>
    </row>
    <row r="1989" spans="28:29">
      <c r="AB1989" s="100"/>
      <c r="AC1989" s="100"/>
    </row>
    <row r="1990" spans="28:29">
      <c r="AB1990" s="100"/>
      <c r="AC1990" s="100"/>
    </row>
    <row r="1991" spans="28:29">
      <c r="AB1991" s="100"/>
      <c r="AC1991" s="100"/>
    </row>
    <row r="1992" spans="28:29">
      <c r="AB1992" s="100"/>
      <c r="AC1992" s="100"/>
    </row>
    <row r="1993" spans="28:29">
      <c r="AB1993" s="100"/>
      <c r="AC1993" s="100"/>
    </row>
    <row r="1994" spans="28:29">
      <c r="AB1994" s="100"/>
      <c r="AC1994" s="100"/>
    </row>
    <row r="1995" spans="28:29">
      <c r="AB1995" s="100"/>
      <c r="AC1995" s="100"/>
    </row>
    <row r="1996" spans="28:29">
      <c r="AB1996" s="100"/>
      <c r="AC1996" s="100"/>
    </row>
    <row r="1997" spans="28:29">
      <c r="AB1997" s="100"/>
      <c r="AC1997" s="100"/>
    </row>
    <row r="1998" spans="28:29">
      <c r="AB1998" s="100"/>
      <c r="AC1998" s="100"/>
    </row>
    <row r="1999" spans="28:29">
      <c r="AB1999" s="100"/>
      <c r="AC1999" s="100"/>
    </row>
    <row r="2000" spans="28:29">
      <c r="AB2000" s="100"/>
      <c r="AC2000" s="100"/>
    </row>
    <row r="2001" spans="28:29">
      <c r="AB2001" s="100"/>
      <c r="AC2001" s="100"/>
    </row>
    <row r="2002" spans="28:29">
      <c r="AB2002" s="100"/>
      <c r="AC2002" s="100"/>
    </row>
    <row r="2003" spans="28:29">
      <c r="AB2003" s="100"/>
      <c r="AC2003" s="100"/>
    </row>
    <row r="2004" spans="28:29">
      <c r="AB2004" s="100"/>
      <c r="AC2004" s="100"/>
    </row>
    <row r="2005" spans="28:29">
      <c r="AB2005" s="100"/>
      <c r="AC2005" s="100"/>
    </row>
    <row r="2006" spans="28:29">
      <c r="AB2006" s="100"/>
      <c r="AC2006" s="100"/>
    </row>
    <row r="2007" spans="28:29">
      <c r="AB2007" s="100"/>
      <c r="AC2007" s="100"/>
    </row>
    <row r="2008" spans="28:29">
      <c r="AB2008" s="100"/>
      <c r="AC2008" s="100"/>
    </row>
    <row r="2009" spans="28:29">
      <c r="AB2009" s="100"/>
      <c r="AC2009" s="100"/>
    </row>
    <row r="2010" spans="28:29">
      <c r="AB2010" s="100"/>
      <c r="AC2010" s="100"/>
    </row>
    <row r="2011" spans="28:29">
      <c r="AB2011" s="100"/>
      <c r="AC2011" s="100"/>
    </row>
    <row r="2012" spans="28:29">
      <c r="AB2012" s="100"/>
      <c r="AC2012" s="100"/>
    </row>
    <row r="2013" spans="28:29">
      <c r="AB2013" s="100"/>
      <c r="AC2013" s="100"/>
    </row>
    <row r="2014" spans="28:29">
      <c r="AB2014" s="100"/>
      <c r="AC2014" s="100"/>
    </row>
    <row r="2015" spans="28:29">
      <c r="AB2015" s="100"/>
      <c r="AC2015" s="100"/>
    </row>
    <row r="2016" spans="28:29">
      <c r="AB2016" s="100"/>
      <c r="AC2016" s="100"/>
    </row>
    <row r="2017" spans="28:29">
      <c r="AB2017" s="100"/>
      <c r="AC2017" s="100"/>
    </row>
    <row r="2018" spans="28:29">
      <c r="AB2018" s="100"/>
      <c r="AC2018" s="100"/>
    </row>
    <row r="2019" spans="28:29">
      <c r="AB2019" s="100"/>
      <c r="AC2019" s="100"/>
    </row>
    <row r="2020" spans="28:29">
      <c r="AB2020" s="100"/>
      <c r="AC2020" s="100"/>
    </row>
    <row r="2021" spans="28:29">
      <c r="AB2021" s="100"/>
      <c r="AC2021" s="100"/>
    </row>
    <row r="2022" spans="28:29">
      <c r="AB2022" s="100"/>
      <c r="AC2022" s="100"/>
    </row>
    <row r="2023" spans="28:29">
      <c r="AB2023" s="100"/>
      <c r="AC2023" s="100"/>
    </row>
    <row r="2024" spans="28:29">
      <c r="AB2024" s="100"/>
      <c r="AC2024" s="100"/>
    </row>
    <row r="2025" spans="28:29">
      <c r="AB2025" s="100"/>
      <c r="AC2025" s="100"/>
    </row>
    <row r="2026" spans="28:29">
      <c r="AB2026" s="100"/>
      <c r="AC2026" s="100"/>
    </row>
    <row r="2027" spans="28:29">
      <c r="AB2027" s="100"/>
      <c r="AC2027" s="100"/>
    </row>
    <row r="2028" spans="28:29">
      <c r="AB2028" s="100"/>
      <c r="AC2028" s="100"/>
    </row>
    <row r="2029" spans="28:29">
      <c r="AB2029" s="100"/>
      <c r="AC2029" s="100"/>
    </row>
    <row r="2030" spans="28:29">
      <c r="AB2030" s="100"/>
      <c r="AC2030" s="100"/>
    </row>
    <row r="2031" spans="28:29">
      <c r="AB2031" s="100"/>
      <c r="AC2031" s="100"/>
    </row>
    <row r="2032" spans="28:29">
      <c r="AB2032" s="100"/>
      <c r="AC2032" s="100"/>
    </row>
    <row r="2033" spans="28:29">
      <c r="AB2033" s="100"/>
      <c r="AC2033" s="100"/>
    </row>
    <row r="2034" spans="28:29">
      <c r="AB2034" s="100"/>
      <c r="AC2034" s="100"/>
    </row>
    <row r="2035" spans="28:29">
      <c r="AB2035" s="100"/>
      <c r="AC2035" s="100"/>
    </row>
    <row r="2036" spans="28:29">
      <c r="AB2036" s="100"/>
      <c r="AC2036" s="100"/>
    </row>
    <row r="2037" spans="28:29">
      <c r="AB2037" s="100"/>
      <c r="AC2037" s="100"/>
    </row>
    <row r="2038" spans="28:29">
      <c r="AB2038" s="100"/>
      <c r="AC2038" s="100"/>
    </row>
    <row r="2039" spans="28:29">
      <c r="AB2039" s="100"/>
      <c r="AC2039" s="100"/>
    </row>
    <row r="2040" spans="28:29">
      <c r="AB2040" s="100"/>
      <c r="AC2040" s="100"/>
    </row>
    <row r="2041" spans="28:29">
      <c r="AB2041" s="100"/>
      <c r="AC2041" s="100"/>
    </row>
    <row r="2042" spans="28:29">
      <c r="AB2042" s="100"/>
      <c r="AC2042" s="100"/>
    </row>
    <row r="2043" spans="28:29">
      <c r="AB2043" s="100"/>
      <c r="AC2043" s="100"/>
    </row>
    <row r="2044" spans="28:29">
      <c r="AB2044" s="100"/>
      <c r="AC2044" s="100"/>
    </row>
    <row r="2045" spans="28:29">
      <c r="AB2045" s="100"/>
      <c r="AC2045" s="100"/>
    </row>
    <row r="2046" spans="28:29">
      <c r="AB2046" s="100"/>
      <c r="AC2046" s="100"/>
    </row>
    <row r="2047" spans="28:29">
      <c r="AB2047" s="100"/>
      <c r="AC2047" s="100"/>
    </row>
    <row r="2048" spans="28:29">
      <c r="AB2048" s="100"/>
      <c r="AC2048" s="100"/>
    </row>
    <row r="2049" spans="28:29">
      <c r="AB2049" s="100"/>
      <c r="AC2049" s="100"/>
    </row>
    <row r="2050" spans="28:29">
      <c r="AB2050" s="100"/>
      <c r="AC2050" s="100"/>
    </row>
    <row r="2051" spans="28:29">
      <c r="AB2051" s="100"/>
      <c r="AC2051" s="100"/>
    </row>
    <row r="2052" spans="28:29">
      <c r="AB2052" s="100"/>
      <c r="AC2052" s="100"/>
    </row>
    <row r="2053" spans="28:29">
      <c r="AB2053" s="100"/>
      <c r="AC2053" s="100"/>
    </row>
    <row r="2054" spans="28:29">
      <c r="AB2054" s="100"/>
      <c r="AC2054" s="100"/>
    </row>
    <row r="2055" spans="28:29">
      <c r="AB2055" s="100"/>
      <c r="AC2055" s="100"/>
    </row>
    <row r="2056" spans="28:29">
      <c r="AB2056" s="100"/>
      <c r="AC2056" s="100"/>
    </row>
    <row r="2057" spans="28:29">
      <c r="AB2057" s="100"/>
      <c r="AC2057" s="100"/>
    </row>
    <row r="2058" spans="28:29">
      <c r="AB2058" s="100"/>
      <c r="AC2058" s="100"/>
    </row>
    <row r="2059" spans="28:29">
      <c r="AB2059" s="100"/>
      <c r="AC2059" s="100"/>
    </row>
    <row r="2060" spans="28:29">
      <c r="AB2060" s="100"/>
      <c r="AC2060" s="100"/>
    </row>
    <row r="2061" spans="28:29">
      <c r="AB2061" s="100"/>
      <c r="AC2061" s="100"/>
    </row>
    <row r="2062" spans="28:29">
      <c r="AB2062" s="100"/>
      <c r="AC2062" s="100"/>
    </row>
    <row r="2063" spans="28:29">
      <c r="AB2063" s="100"/>
      <c r="AC2063" s="100"/>
    </row>
    <row r="2064" spans="28:29">
      <c r="AB2064" s="100"/>
      <c r="AC2064" s="100"/>
    </row>
    <row r="2065" spans="28:29">
      <c r="AB2065" s="100"/>
      <c r="AC2065" s="100"/>
    </row>
    <row r="2066" spans="28:29">
      <c r="AB2066" s="100"/>
      <c r="AC2066" s="100"/>
    </row>
    <row r="2067" spans="28:29">
      <c r="AB2067" s="100"/>
      <c r="AC2067" s="100"/>
    </row>
    <row r="2068" spans="28:29">
      <c r="AB2068" s="100"/>
      <c r="AC2068" s="100"/>
    </row>
    <row r="2069" spans="28:29">
      <c r="AB2069" s="100"/>
      <c r="AC2069" s="100"/>
    </row>
    <row r="2070" spans="28:29">
      <c r="AB2070" s="100"/>
      <c r="AC2070" s="100"/>
    </row>
    <row r="2071" spans="28:29">
      <c r="AB2071" s="100"/>
      <c r="AC2071" s="100"/>
    </row>
    <row r="2072" spans="28:29">
      <c r="AB2072" s="100"/>
      <c r="AC2072" s="100"/>
    </row>
    <row r="2073" spans="28:29">
      <c r="AB2073" s="100"/>
      <c r="AC2073" s="100"/>
    </row>
    <row r="2074" spans="28:29">
      <c r="AB2074" s="100"/>
      <c r="AC2074" s="100"/>
    </row>
    <row r="2075" spans="28:29">
      <c r="AB2075" s="100"/>
      <c r="AC2075" s="100"/>
    </row>
    <row r="2076" spans="28:29">
      <c r="AB2076" s="100"/>
      <c r="AC2076" s="100"/>
    </row>
    <row r="2077" spans="28:29">
      <c r="AB2077" s="100"/>
      <c r="AC2077" s="100"/>
    </row>
    <row r="2078" spans="28:29">
      <c r="AB2078" s="100"/>
      <c r="AC2078" s="100"/>
    </row>
    <row r="2079" spans="28:29">
      <c r="AB2079" s="100"/>
      <c r="AC2079" s="100"/>
    </row>
    <row r="2080" spans="28:29">
      <c r="AB2080" s="100"/>
      <c r="AC2080" s="100"/>
    </row>
    <row r="2081" spans="28:29">
      <c r="AB2081" s="100"/>
      <c r="AC2081" s="100"/>
    </row>
    <row r="2082" spans="28:29">
      <c r="AB2082" s="100"/>
      <c r="AC2082" s="100"/>
    </row>
    <row r="2083" spans="28:29">
      <c r="AB2083" s="100"/>
      <c r="AC2083" s="100"/>
    </row>
    <row r="2084" spans="28:29">
      <c r="AB2084" s="100"/>
      <c r="AC2084" s="100"/>
    </row>
    <row r="2085" spans="28:29">
      <c r="AB2085" s="100"/>
      <c r="AC2085" s="100"/>
    </row>
    <row r="2086" spans="28:29">
      <c r="AB2086" s="100"/>
      <c r="AC2086" s="100"/>
    </row>
    <row r="2087" spans="28:29">
      <c r="AB2087" s="100"/>
      <c r="AC2087" s="100"/>
    </row>
    <row r="2088" spans="28:29">
      <c r="AB2088" s="100"/>
      <c r="AC2088" s="100"/>
    </row>
    <row r="2089" spans="28:29">
      <c r="AB2089" s="100"/>
      <c r="AC2089" s="100"/>
    </row>
    <row r="2090" spans="28:29">
      <c r="AB2090" s="100"/>
      <c r="AC2090" s="100"/>
    </row>
    <row r="2091" spans="28:29">
      <c r="AB2091" s="100"/>
      <c r="AC2091" s="100"/>
    </row>
    <row r="2092" spans="28:29">
      <c r="AB2092" s="100"/>
      <c r="AC2092" s="100"/>
    </row>
    <row r="2093" spans="28:29">
      <c r="AB2093" s="100"/>
      <c r="AC2093" s="100"/>
    </row>
    <row r="2094" spans="28:29">
      <c r="AB2094" s="100"/>
      <c r="AC2094" s="100"/>
    </row>
    <row r="2095" spans="28:29">
      <c r="AB2095" s="100"/>
      <c r="AC2095" s="100"/>
    </row>
    <row r="2096" spans="28:29">
      <c r="AB2096" s="100"/>
      <c r="AC2096" s="100"/>
    </row>
    <row r="2097" spans="28:29">
      <c r="AB2097" s="100"/>
      <c r="AC2097" s="100"/>
    </row>
    <row r="2098" spans="28:29">
      <c r="AB2098" s="100"/>
      <c r="AC2098" s="100"/>
    </row>
    <row r="2099" spans="28:29">
      <c r="AB2099" s="100"/>
      <c r="AC2099" s="100"/>
    </row>
    <row r="2100" spans="28:29">
      <c r="AB2100" s="100"/>
      <c r="AC2100" s="100"/>
    </row>
    <row r="2101" spans="28:29">
      <c r="AB2101" s="100"/>
      <c r="AC2101" s="100"/>
    </row>
    <row r="2102" spans="28:29">
      <c r="AB2102" s="100"/>
      <c r="AC2102" s="100"/>
    </row>
    <row r="2103" spans="28:29">
      <c r="AB2103" s="100"/>
      <c r="AC2103" s="100"/>
    </row>
    <row r="2104" spans="28:29">
      <c r="AB2104" s="100"/>
      <c r="AC2104" s="100"/>
    </row>
    <row r="2105" spans="28:29">
      <c r="AB2105" s="100"/>
      <c r="AC2105" s="100"/>
    </row>
    <row r="2106" spans="28:29">
      <c r="AB2106" s="100"/>
      <c r="AC2106" s="100"/>
    </row>
    <row r="2107" spans="28:29">
      <c r="AB2107" s="100"/>
      <c r="AC2107" s="100"/>
    </row>
    <row r="2108" spans="28:29">
      <c r="AB2108" s="100"/>
      <c r="AC2108" s="100"/>
    </row>
    <row r="2109" spans="28:29">
      <c r="AB2109" s="100"/>
      <c r="AC2109" s="100"/>
    </row>
    <row r="2110" spans="28:29">
      <c r="AB2110" s="100"/>
      <c r="AC2110" s="100"/>
    </row>
    <row r="2111" spans="28:29">
      <c r="AB2111" s="100"/>
      <c r="AC2111" s="100"/>
    </row>
    <row r="2112" spans="28:29">
      <c r="AB2112" s="100"/>
      <c r="AC2112" s="100"/>
    </row>
    <row r="2113" spans="28:29">
      <c r="AB2113" s="100"/>
      <c r="AC2113" s="100"/>
    </row>
    <row r="2114" spans="28:29">
      <c r="AB2114" s="100"/>
      <c r="AC2114" s="100"/>
    </row>
    <row r="2115" spans="28:29">
      <c r="AB2115" s="100"/>
      <c r="AC2115" s="100"/>
    </row>
    <row r="2116" spans="28:29">
      <c r="AB2116" s="100"/>
      <c r="AC2116" s="100"/>
    </row>
    <row r="2117" spans="28:29">
      <c r="AB2117" s="100"/>
      <c r="AC2117" s="100"/>
    </row>
    <row r="2118" spans="28:29">
      <c r="AB2118" s="100"/>
      <c r="AC2118" s="100"/>
    </row>
    <row r="2119" spans="28:29">
      <c r="AB2119" s="100"/>
      <c r="AC2119" s="100"/>
    </row>
    <row r="2120" spans="28:29">
      <c r="AB2120" s="100"/>
      <c r="AC2120" s="100"/>
    </row>
    <row r="2121" spans="28:29">
      <c r="AB2121" s="100"/>
      <c r="AC2121" s="100"/>
    </row>
    <row r="2122" spans="28:29">
      <c r="AB2122" s="100"/>
      <c r="AC2122" s="100"/>
    </row>
    <row r="2123" spans="28:29">
      <c r="AB2123" s="100"/>
      <c r="AC2123" s="100"/>
    </row>
    <row r="2124" spans="28:29">
      <c r="AB2124" s="100"/>
      <c r="AC2124" s="100"/>
    </row>
    <row r="2125" spans="28:29">
      <c r="AB2125" s="100"/>
      <c r="AC2125" s="100"/>
    </row>
    <row r="2126" spans="28:29">
      <c r="AB2126" s="100"/>
      <c r="AC2126" s="100"/>
    </row>
    <row r="2127" spans="28:29">
      <c r="AB2127" s="100"/>
      <c r="AC2127" s="100"/>
    </row>
    <row r="2128" spans="28:29">
      <c r="AB2128" s="100"/>
      <c r="AC2128" s="100"/>
    </row>
    <row r="2129" spans="28:29">
      <c r="AB2129" s="100"/>
      <c r="AC2129" s="100"/>
    </row>
    <row r="2130" spans="28:29">
      <c r="AB2130" s="100"/>
      <c r="AC2130" s="100"/>
    </row>
    <row r="2131" spans="28:29">
      <c r="AB2131" s="100"/>
      <c r="AC2131" s="100"/>
    </row>
    <row r="2132" spans="28:29">
      <c r="AB2132" s="100"/>
      <c r="AC2132" s="100"/>
    </row>
    <row r="2133" spans="28:29">
      <c r="AB2133" s="100"/>
      <c r="AC2133" s="100"/>
    </row>
    <row r="2134" spans="28:29">
      <c r="AB2134" s="100"/>
      <c r="AC2134" s="100"/>
    </row>
    <row r="2135" spans="28:29">
      <c r="AB2135" s="100"/>
      <c r="AC2135" s="100"/>
    </row>
    <row r="2136" spans="28:29">
      <c r="AB2136" s="100"/>
      <c r="AC2136" s="100"/>
    </row>
    <row r="2137" spans="28:29">
      <c r="AB2137" s="100"/>
      <c r="AC2137" s="100"/>
    </row>
    <row r="2138" spans="28:29">
      <c r="AB2138" s="100"/>
      <c r="AC2138" s="100"/>
    </row>
    <row r="2139" spans="28:29">
      <c r="AB2139" s="100"/>
      <c r="AC2139" s="100"/>
    </row>
    <row r="2140" spans="28:29">
      <c r="AB2140" s="100"/>
      <c r="AC2140" s="100"/>
    </row>
    <row r="2141" spans="28:29">
      <c r="AB2141" s="100"/>
      <c r="AC2141" s="100"/>
    </row>
    <row r="2142" spans="28:29">
      <c r="AB2142" s="100"/>
      <c r="AC2142" s="100"/>
    </row>
    <row r="2143" spans="28:29">
      <c r="AB2143" s="100"/>
      <c r="AC2143" s="100"/>
    </row>
    <row r="2144" spans="28:29">
      <c r="AB2144" s="100"/>
      <c r="AC2144" s="100"/>
    </row>
    <row r="2145" spans="28:29">
      <c r="AB2145" s="100"/>
      <c r="AC2145" s="100"/>
    </row>
    <row r="2146" spans="28:29">
      <c r="AB2146" s="100"/>
      <c r="AC2146" s="100"/>
    </row>
    <row r="2147" spans="28:29">
      <c r="AB2147" s="100"/>
      <c r="AC2147" s="100"/>
    </row>
    <row r="2148" spans="28:29">
      <c r="AB2148" s="100"/>
      <c r="AC2148" s="100"/>
    </row>
    <row r="2149" spans="28:29">
      <c r="AB2149" s="100"/>
      <c r="AC2149" s="100"/>
    </row>
    <row r="2150" spans="28:29">
      <c r="AB2150" s="100"/>
      <c r="AC2150" s="100"/>
    </row>
    <row r="2151" spans="28:29">
      <c r="AB2151" s="100"/>
      <c r="AC2151" s="100"/>
    </row>
    <row r="2152" spans="28:29">
      <c r="AB2152" s="100"/>
      <c r="AC2152" s="100"/>
    </row>
    <row r="2153" spans="28:29">
      <c r="AB2153" s="100"/>
      <c r="AC2153" s="100"/>
    </row>
    <row r="2154" spans="28:29">
      <c r="AB2154" s="100"/>
      <c r="AC2154" s="100"/>
    </row>
    <row r="2155" spans="28:29">
      <c r="AB2155" s="100"/>
      <c r="AC2155" s="100"/>
    </row>
    <row r="2156" spans="28:29">
      <c r="AB2156" s="100"/>
      <c r="AC2156" s="100"/>
    </row>
    <row r="2157" spans="28:29">
      <c r="AB2157" s="100"/>
      <c r="AC2157" s="100"/>
    </row>
    <row r="2158" spans="28:29">
      <c r="AB2158" s="100"/>
      <c r="AC2158" s="100"/>
    </row>
    <row r="2159" spans="28:29">
      <c r="AB2159" s="100"/>
      <c r="AC2159" s="100"/>
    </row>
    <row r="2160" spans="28:29">
      <c r="AB2160" s="100"/>
      <c r="AC2160" s="100"/>
    </row>
    <row r="2161" spans="28:29">
      <c r="AB2161" s="100"/>
      <c r="AC2161" s="100"/>
    </row>
    <row r="2162" spans="28:29">
      <c r="AB2162" s="100"/>
      <c r="AC2162" s="100"/>
    </row>
    <row r="2163" spans="28:29">
      <c r="AB2163" s="100"/>
      <c r="AC2163" s="100"/>
    </row>
    <row r="2164" spans="28:29">
      <c r="AB2164" s="100"/>
      <c r="AC2164" s="100"/>
    </row>
    <row r="2165" spans="28:29">
      <c r="AB2165" s="100"/>
      <c r="AC2165" s="100"/>
    </row>
    <row r="2166" spans="28:29">
      <c r="AB2166" s="100"/>
      <c r="AC2166" s="100"/>
    </row>
    <row r="2167" spans="28:29">
      <c r="AB2167" s="100"/>
      <c r="AC2167" s="100"/>
    </row>
    <row r="2168" spans="28:29">
      <c r="AB2168" s="100"/>
      <c r="AC2168" s="100"/>
    </row>
    <row r="2169" spans="28:29">
      <c r="AB2169" s="100"/>
      <c r="AC2169" s="100"/>
    </row>
    <row r="2170" spans="28:29">
      <c r="AB2170" s="100"/>
      <c r="AC2170" s="100"/>
    </row>
    <row r="2171" spans="28:29">
      <c r="AB2171" s="100"/>
      <c r="AC2171" s="100"/>
    </row>
    <row r="2172" spans="28:29">
      <c r="AB2172" s="100"/>
      <c r="AC2172" s="100"/>
    </row>
    <row r="2173" spans="28:29">
      <c r="AB2173" s="100"/>
      <c r="AC2173" s="100"/>
    </row>
    <row r="2174" spans="28:29">
      <c r="AB2174" s="100"/>
      <c r="AC2174" s="100"/>
    </row>
    <row r="2175" spans="28:29">
      <c r="AB2175" s="100"/>
      <c r="AC2175" s="100"/>
    </row>
    <row r="2176" spans="28:29">
      <c r="AB2176" s="100"/>
      <c r="AC2176" s="100"/>
    </row>
    <row r="2177" spans="28:29">
      <c r="AB2177" s="100"/>
      <c r="AC2177" s="100"/>
    </row>
    <row r="2178" spans="28:29">
      <c r="AB2178" s="100"/>
      <c r="AC2178" s="100"/>
    </row>
    <row r="2179" spans="28:29">
      <c r="AB2179" s="100"/>
      <c r="AC2179" s="100"/>
    </row>
    <row r="2180" spans="28:29">
      <c r="AB2180" s="100"/>
      <c r="AC2180" s="100"/>
    </row>
    <row r="2181" spans="28:29">
      <c r="AB2181" s="100"/>
      <c r="AC2181" s="100"/>
    </row>
    <row r="2182" spans="28:29">
      <c r="AB2182" s="100"/>
      <c r="AC2182" s="100"/>
    </row>
    <row r="2183" spans="28:29">
      <c r="AB2183" s="100"/>
      <c r="AC2183" s="100"/>
    </row>
    <row r="2184" spans="28:29">
      <c r="AB2184" s="100"/>
      <c r="AC2184" s="100"/>
    </row>
    <row r="2185" spans="28:29">
      <c r="AB2185" s="100"/>
      <c r="AC2185" s="100"/>
    </row>
    <row r="2186" spans="28:29">
      <c r="AB2186" s="100"/>
      <c r="AC2186" s="100"/>
    </row>
    <row r="2187" spans="28:29">
      <c r="AB2187" s="100"/>
      <c r="AC2187" s="100"/>
    </row>
    <row r="2188" spans="28:29">
      <c r="AB2188" s="100"/>
      <c r="AC2188" s="100"/>
    </row>
    <row r="2189" spans="28:29">
      <c r="AB2189" s="100"/>
      <c r="AC2189" s="100"/>
    </row>
    <row r="2190" spans="28:29">
      <c r="AB2190" s="100"/>
      <c r="AC2190" s="100"/>
    </row>
    <row r="2191" spans="28:29">
      <c r="AB2191" s="100"/>
      <c r="AC2191" s="100"/>
    </row>
    <row r="2192" spans="28:29">
      <c r="AB2192" s="100"/>
      <c r="AC2192" s="100"/>
    </row>
    <row r="2193" spans="28:29">
      <c r="AB2193" s="100"/>
      <c r="AC2193" s="100"/>
    </row>
    <row r="2194" spans="28:29">
      <c r="AB2194" s="100"/>
      <c r="AC2194" s="100"/>
    </row>
    <row r="2195" spans="28:29">
      <c r="AB2195" s="100"/>
      <c r="AC2195" s="100"/>
    </row>
    <row r="2196" spans="28:29">
      <c r="AB2196" s="100"/>
      <c r="AC2196" s="100"/>
    </row>
    <row r="2197" spans="28:29">
      <c r="AB2197" s="100"/>
      <c r="AC2197" s="100"/>
    </row>
    <row r="2198" spans="28:29">
      <c r="AB2198" s="100"/>
      <c r="AC2198" s="100"/>
    </row>
    <row r="2199" spans="28:29">
      <c r="AB2199" s="100"/>
      <c r="AC2199" s="100"/>
    </row>
    <row r="2200" spans="28:29">
      <c r="AB2200" s="100"/>
      <c r="AC2200" s="100"/>
    </row>
    <row r="2201" spans="28:29">
      <c r="AB2201" s="100"/>
      <c r="AC2201" s="100"/>
    </row>
    <row r="2202" spans="28:29">
      <c r="AB2202" s="100"/>
      <c r="AC2202" s="100"/>
    </row>
    <row r="2203" spans="28:29">
      <c r="AB2203" s="100"/>
      <c r="AC2203" s="100"/>
    </row>
    <row r="2204" spans="28:29">
      <c r="AB2204" s="100"/>
      <c r="AC2204" s="100"/>
    </row>
    <row r="2205" spans="28:29">
      <c r="AB2205" s="100"/>
      <c r="AC2205" s="100"/>
    </row>
    <row r="2206" spans="28:29">
      <c r="AB2206" s="100"/>
      <c r="AC2206" s="100"/>
    </row>
    <row r="2207" spans="28:29">
      <c r="AB2207" s="100"/>
      <c r="AC2207" s="100"/>
    </row>
    <row r="2208" spans="28:29">
      <c r="AB2208" s="100"/>
      <c r="AC2208" s="100"/>
    </row>
    <row r="2209" spans="28:29">
      <c r="AB2209" s="100"/>
      <c r="AC2209" s="100"/>
    </row>
    <row r="2210" spans="28:29">
      <c r="AB2210" s="100"/>
      <c r="AC2210" s="100"/>
    </row>
    <row r="2211" spans="28:29">
      <c r="AB2211" s="100"/>
      <c r="AC2211" s="100"/>
    </row>
    <row r="2212" spans="28:29">
      <c r="AB2212" s="100"/>
      <c r="AC2212" s="100"/>
    </row>
    <row r="2213" spans="28:29">
      <c r="AB2213" s="100"/>
      <c r="AC2213" s="100"/>
    </row>
    <row r="2214" spans="28:29">
      <c r="AB2214" s="100"/>
      <c r="AC2214" s="100"/>
    </row>
    <row r="2215" spans="28:29">
      <c r="AB2215" s="100"/>
      <c r="AC2215" s="100"/>
    </row>
    <row r="2216" spans="28:29">
      <c r="AB2216" s="100"/>
      <c r="AC2216" s="100"/>
    </row>
    <row r="2217" spans="28:29">
      <c r="AB2217" s="100"/>
      <c r="AC2217" s="100"/>
    </row>
    <row r="2218" spans="28:29">
      <c r="AB2218" s="100"/>
      <c r="AC2218" s="100"/>
    </row>
    <row r="2219" spans="28:29">
      <c r="AB2219" s="100"/>
      <c r="AC2219" s="100"/>
    </row>
    <row r="2220" spans="28:29">
      <c r="AB2220" s="100"/>
      <c r="AC2220" s="100"/>
    </row>
    <row r="2221" spans="28:29">
      <c r="AB2221" s="100"/>
      <c r="AC2221" s="100"/>
    </row>
    <row r="2222" spans="28:29">
      <c r="AB2222" s="100"/>
      <c r="AC2222" s="100"/>
    </row>
    <row r="2223" spans="28:29">
      <c r="AB2223" s="100"/>
      <c r="AC2223" s="100"/>
    </row>
    <row r="2224" spans="28:29">
      <c r="AB2224" s="100"/>
      <c r="AC2224" s="100"/>
    </row>
    <row r="2225" spans="28:29">
      <c r="AB2225" s="100"/>
      <c r="AC2225" s="100"/>
    </row>
    <row r="2226" spans="28:29">
      <c r="AB2226" s="100"/>
      <c r="AC2226" s="100"/>
    </row>
    <row r="2227" spans="28:29">
      <c r="AB2227" s="100"/>
      <c r="AC2227" s="100"/>
    </row>
    <row r="2228" spans="28:29">
      <c r="AB2228" s="100"/>
      <c r="AC2228" s="100"/>
    </row>
    <row r="2229" spans="28:29">
      <c r="AB2229" s="100"/>
      <c r="AC2229" s="100"/>
    </row>
    <row r="2230" spans="28:29">
      <c r="AB2230" s="100"/>
      <c r="AC2230" s="100"/>
    </row>
    <row r="2231" spans="28:29">
      <c r="AB2231" s="100"/>
      <c r="AC2231" s="100"/>
    </row>
    <row r="2232" spans="28:29">
      <c r="AB2232" s="100"/>
      <c r="AC2232" s="100"/>
    </row>
    <row r="2233" spans="28:29">
      <c r="AB2233" s="100"/>
      <c r="AC2233" s="100"/>
    </row>
    <row r="2234" spans="28:29">
      <c r="AB2234" s="100"/>
      <c r="AC2234" s="100"/>
    </row>
    <row r="2235" spans="28:29">
      <c r="AB2235" s="100"/>
      <c r="AC2235" s="100"/>
    </row>
    <row r="2236" spans="28:29">
      <c r="AB2236" s="100"/>
      <c r="AC2236" s="100"/>
    </row>
    <row r="2237" spans="28:29">
      <c r="AB2237" s="100"/>
      <c r="AC2237" s="100"/>
    </row>
    <row r="2238" spans="28:29">
      <c r="AB2238" s="100"/>
      <c r="AC2238" s="100"/>
    </row>
    <row r="2239" spans="28:29">
      <c r="AB2239" s="100"/>
      <c r="AC2239" s="100"/>
    </row>
    <row r="2240" spans="28:29">
      <c r="AB2240" s="100"/>
      <c r="AC2240" s="100"/>
    </row>
    <row r="2241" spans="28:29">
      <c r="AB2241" s="100"/>
      <c r="AC2241" s="100"/>
    </row>
    <row r="2242" spans="28:29">
      <c r="AB2242" s="100"/>
      <c r="AC2242" s="100"/>
    </row>
    <row r="2243" spans="28:29">
      <c r="AB2243" s="100"/>
      <c r="AC2243" s="100"/>
    </row>
    <row r="2244" spans="28:29">
      <c r="AB2244" s="100"/>
      <c r="AC2244" s="100"/>
    </row>
    <row r="2245" spans="28:29">
      <c r="AB2245" s="100"/>
      <c r="AC2245" s="100"/>
    </row>
    <row r="2246" spans="28:29">
      <c r="AB2246" s="100"/>
      <c r="AC2246" s="100"/>
    </row>
    <row r="2247" spans="28:29">
      <c r="AB2247" s="100"/>
      <c r="AC2247" s="100"/>
    </row>
    <row r="2248" spans="28:29">
      <c r="AB2248" s="100"/>
      <c r="AC2248" s="100"/>
    </row>
    <row r="2249" spans="28:29">
      <c r="AB2249" s="100"/>
      <c r="AC2249" s="100"/>
    </row>
    <row r="2250" spans="28:29">
      <c r="AB2250" s="100"/>
      <c r="AC2250" s="100"/>
    </row>
    <row r="2251" spans="28:29">
      <c r="AB2251" s="100"/>
      <c r="AC2251" s="100"/>
    </row>
    <row r="2252" spans="28:29">
      <c r="AB2252" s="100"/>
      <c r="AC2252" s="100"/>
    </row>
    <row r="2253" spans="28:29">
      <c r="AB2253" s="100"/>
      <c r="AC2253" s="100"/>
    </row>
    <row r="2254" spans="28:29">
      <c r="AB2254" s="100"/>
      <c r="AC2254" s="100"/>
    </row>
    <row r="2255" spans="28:29">
      <c r="AB2255" s="100"/>
      <c r="AC2255" s="100"/>
    </row>
    <row r="2256" spans="28:29">
      <c r="AB2256" s="100"/>
      <c r="AC2256" s="100"/>
    </row>
    <row r="2257" spans="28:29">
      <c r="AB2257" s="100"/>
      <c r="AC2257" s="100"/>
    </row>
    <row r="2258" spans="28:29">
      <c r="AB2258" s="100"/>
      <c r="AC2258" s="100"/>
    </row>
    <row r="2259" spans="28:29">
      <c r="AB2259" s="100"/>
      <c r="AC2259" s="100"/>
    </row>
    <row r="2260" spans="28:29">
      <c r="AB2260" s="100"/>
      <c r="AC2260" s="100"/>
    </row>
    <row r="2261" spans="28:29">
      <c r="AB2261" s="100"/>
      <c r="AC2261" s="100"/>
    </row>
    <row r="2262" spans="28:29">
      <c r="AB2262" s="100"/>
      <c r="AC2262" s="100"/>
    </row>
    <row r="2263" spans="28:29">
      <c r="AB2263" s="100"/>
      <c r="AC2263" s="100"/>
    </row>
    <row r="2264" spans="28:29">
      <c r="AB2264" s="100"/>
      <c r="AC2264" s="100"/>
    </row>
    <row r="2265" spans="28:29">
      <c r="AB2265" s="100"/>
      <c r="AC2265" s="100"/>
    </row>
    <row r="2266" spans="28:29">
      <c r="AB2266" s="100"/>
      <c r="AC2266" s="100"/>
    </row>
    <row r="2267" spans="28:29">
      <c r="AB2267" s="100"/>
      <c r="AC2267" s="100"/>
    </row>
    <row r="2268" spans="28:29">
      <c r="AB2268" s="100"/>
      <c r="AC2268" s="100"/>
    </row>
    <row r="2269" spans="28:29">
      <c r="AB2269" s="100"/>
      <c r="AC2269" s="100"/>
    </row>
    <row r="2270" spans="28:29">
      <c r="AB2270" s="100"/>
      <c r="AC2270" s="100"/>
    </row>
    <row r="2271" spans="28:29">
      <c r="AB2271" s="100"/>
      <c r="AC2271" s="100"/>
    </row>
    <row r="2272" spans="28:29">
      <c r="AB2272" s="100"/>
      <c r="AC2272" s="100"/>
    </row>
    <row r="2273" spans="28:29">
      <c r="AB2273" s="100"/>
      <c r="AC2273" s="100"/>
    </row>
    <row r="2274" spans="28:29">
      <c r="AB2274" s="100"/>
      <c r="AC2274" s="100"/>
    </row>
    <row r="2275" spans="28:29">
      <c r="AB2275" s="100"/>
      <c r="AC2275" s="100"/>
    </row>
    <row r="2276" spans="28:29">
      <c r="AB2276" s="100"/>
      <c r="AC2276" s="100"/>
    </row>
    <row r="2277" spans="28:29">
      <c r="AB2277" s="100"/>
      <c r="AC2277" s="100"/>
    </row>
    <row r="2278" spans="28:29">
      <c r="AB2278" s="100"/>
      <c r="AC2278" s="100"/>
    </row>
    <row r="2279" spans="28:29">
      <c r="AB2279" s="100"/>
      <c r="AC2279" s="100"/>
    </row>
    <row r="2280" spans="28:29">
      <c r="AB2280" s="100"/>
      <c r="AC2280" s="100"/>
    </row>
    <row r="2281" spans="28:29">
      <c r="AB2281" s="100"/>
      <c r="AC2281" s="100"/>
    </row>
    <row r="2282" spans="28:29">
      <c r="AB2282" s="100"/>
      <c r="AC2282" s="100"/>
    </row>
    <row r="2283" spans="28:29">
      <c r="AB2283" s="100"/>
      <c r="AC2283" s="100"/>
    </row>
    <row r="2284" spans="28:29">
      <c r="AB2284" s="100"/>
      <c r="AC2284" s="100"/>
    </row>
    <row r="2285" spans="28:29">
      <c r="AB2285" s="100"/>
      <c r="AC2285" s="100"/>
    </row>
    <row r="2286" spans="28:29">
      <c r="AB2286" s="100"/>
      <c r="AC2286" s="100"/>
    </row>
    <row r="2287" spans="28:29">
      <c r="AB2287" s="100"/>
      <c r="AC2287" s="100"/>
    </row>
    <row r="2288" spans="28:29">
      <c r="AB2288" s="100"/>
      <c r="AC2288" s="100"/>
    </row>
    <row r="2289" spans="28:29">
      <c r="AB2289" s="100"/>
      <c r="AC2289" s="100"/>
    </row>
    <row r="2290" spans="28:29">
      <c r="AB2290" s="100"/>
      <c r="AC2290" s="100"/>
    </row>
    <row r="2291" spans="28:29">
      <c r="AB2291" s="100"/>
      <c r="AC2291" s="100"/>
    </row>
    <row r="2292" spans="28:29">
      <c r="AB2292" s="100"/>
      <c r="AC2292" s="100"/>
    </row>
    <row r="2293" spans="28:29">
      <c r="AB2293" s="100"/>
      <c r="AC2293" s="100"/>
    </row>
    <row r="2294" spans="28:29">
      <c r="AB2294" s="100"/>
      <c r="AC2294" s="100"/>
    </row>
    <row r="2295" spans="28:29">
      <c r="AB2295" s="100"/>
      <c r="AC2295" s="100"/>
    </row>
    <row r="2296" spans="28:29">
      <c r="AB2296" s="100"/>
      <c r="AC2296" s="100"/>
    </row>
    <row r="2297" spans="28:29">
      <c r="AB2297" s="100"/>
      <c r="AC2297" s="100"/>
    </row>
    <row r="2298" spans="28:29">
      <c r="AB2298" s="100"/>
      <c r="AC2298" s="100"/>
    </row>
    <row r="2299" spans="28:29">
      <c r="AB2299" s="100"/>
      <c r="AC2299" s="100"/>
    </row>
    <row r="2300" spans="28:29">
      <c r="AB2300" s="100"/>
      <c r="AC2300" s="100"/>
    </row>
    <row r="2301" spans="28:29">
      <c r="AB2301" s="100"/>
      <c r="AC2301" s="100"/>
    </row>
    <row r="2302" spans="28:29">
      <c r="AB2302" s="100"/>
      <c r="AC2302" s="100"/>
    </row>
    <row r="2303" spans="28:29">
      <c r="AB2303" s="100"/>
      <c r="AC2303" s="100"/>
    </row>
    <row r="2304" spans="28:29">
      <c r="AB2304" s="100"/>
      <c r="AC2304" s="100"/>
    </row>
    <row r="2305" spans="28:29">
      <c r="AB2305" s="100"/>
      <c r="AC2305" s="100"/>
    </row>
    <row r="2306" spans="28:29">
      <c r="AB2306" s="100"/>
      <c r="AC2306" s="100"/>
    </row>
    <row r="2307" spans="28:29">
      <c r="AB2307" s="100"/>
      <c r="AC2307" s="100"/>
    </row>
    <row r="2308" spans="28:29">
      <c r="AB2308" s="100"/>
      <c r="AC2308" s="100"/>
    </row>
    <row r="2309" spans="28:29">
      <c r="AB2309" s="100"/>
      <c r="AC2309" s="100"/>
    </row>
    <row r="2310" spans="28:29">
      <c r="AB2310" s="100"/>
      <c r="AC2310" s="100"/>
    </row>
    <row r="2311" spans="28:29">
      <c r="AB2311" s="100"/>
      <c r="AC2311" s="100"/>
    </row>
    <row r="2312" spans="28:29">
      <c r="AB2312" s="100"/>
      <c r="AC2312" s="100"/>
    </row>
    <row r="2313" spans="28:29">
      <c r="AB2313" s="100"/>
      <c r="AC2313" s="100"/>
    </row>
    <row r="2314" spans="28:29">
      <c r="AB2314" s="100"/>
      <c r="AC2314" s="100"/>
    </row>
    <row r="2315" spans="28:29">
      <c r="AB2315" s="100"/>
      <c r="AC2315" s="100"/>
    </row>
    <row r="2316" spans="28:29">
      <c r="AB2316" s="100"/>
      <c r="AC2316" s="100"/>
    </row>
    <row r="2317" spans="28:29">
      <c r="AB2317" s="100"/>
      <c r="AC2317" s="100"/>
    </row>
    <row r="2318" spans="28:29">
      <c r="AB2318" s="100"/>
      <c r="AC2318" s="100"/>
    </row>
    <row r="2319" spans="28:29">
      <c r="AB2319" s="100"/>
      <c r="AC2319" s="100"/>
    </row>
    <row r="2320" spans="28:29">
      <c r="AB2320" s="100"/>
      <c r="AC2320" s="100"/>
    </row>
    <row r="2321" spans="28:29">
      <c r="AB2321" s="100"/>
      <c r="AC2321" s="100"/>
    </row>
    <row r="2322" spans="28:29">
      <c r="AB2322" s="100"/>
      <c r="AC2322" s="100"/>
    </row>
    <row r="2323" spans="28:29">
      <c r="AB2323" s="100"/>
      <c r="AC2323" s="100"/>
    </row>
    <row r="2324" spans="28:29">
      <c r="AB2324" s="100"/>
      <c r="AC2324" s="100"/>
    </row>
    <row r="2325" spans="28:29">
      <c r="AB2325" s="100"/>
      <c r="AC2325" s="100"/>
    </row>
    <row r="2326" spans="28:29">
      <c r="AB2326" s="100"/>
      <c r="AC2326" s="100"/>
    </row>
    <row r="2327" spans="28:29">
      <c r="AB2327" s="100"/>
      <c r="AC2327" s="100"/>
    </row>
    <row r="2328" spans="28:29">
      <c r="AB2328" s="100"/>
      <c r="AC2328" s="100"/>
    </row>
    <row r="2329" spans="28:29">
      <c r="AB2329" s="100"/>
      <c r="AC2329" s="100"/>
    </row>
    <row r="2330" spans="28:29">
      <c r="AB2330" s="100"/>
      <c r="AC2330" s="100"/>
    </row>
    <row r="2331" spans="28:29">
      <c r="AB2331" s="100"/>
      <c r="AC2331" s="100"/>
    </row>
    <row r="2332" spans="28:29">
      <c r="AB2332" s="100"/>
      <c r="AC2332" s="100"/>
    </row>
    <row r="2333" spans="28:29">
      <c r="AB2333" s="100"/>
      <c r="AC2333" s="100"/>
    </row>
    <row r="2334" spans="28:29">
      <c r="AB2334" s="100"/>
      <c r="AC2334" s="100"/>
    </row>
    <row r="2335" spans="28:29">
      <c r="AB2335" s="100"/>
      <c r="AC2335" s="100"/>
    </row>
    <row r="2336" spans="28:29">
      <c r="AB2336" s="100"/>
      <c r="AC2336" s="100"/>
    </row>
    <row r="2337" spans="28:29">
      <c r="AB2337" s="100"/>
      <c r="AC2337" s="100"/>
    </row>
    <row r="2338" spans="28:29">
      <c r="AB2338" s="100"/>
      <c r="AC2338" s="100"/>
    </row>
    <row r="2339" spans="28:29">
      <c r="AB2339" s="100"/>
      <c r="AC2339" s="100"/>
    </row>
    <row r="2340" spans="28:29">
      <c r="AB2340" s="100"/>
      <c r="AC2340" s="100"/>
    </row>
    <row r="2341" spans="28:29">
      <c r="AB2341" s="100"/>
      <c r="AC2341" s="100"/>
    </row>
    <row r="2342" spans="28:29">
      <c r="AB2342" s="100"/>
      <c r="AC2342" s="100"/>
    </row>
    <row r="2343" spans="28:29">
      <c r="AB2343" s="100"/>
      <c r="AC2343" s="100"/>
    </row>
    <row r="2344" spans="28:29">
      <c r="AB2344" s="100"/>
      <c r="AC2344" s="100"/>
    </row>
    <row r="2345" spans="28:29">
      <c r="AB2345" s="100"/>
      <c r="AC2345" s="100"/>
    </row>
    <row r="2346" spans="28:29">
      <c r="AB2346" s="100"/>
      <c r="AC2346" s="100"/>
    </row>
    <row r="2347" spans="28:29">
      <c r="AB2347" s="100"/>
      <c r="AC2347" s="100"/>
    </row>
    <row r="2348" spans="28:29">
      <c r="AB2348" s="100"/>
      <c r="AC2348" s="100"/>
    </row>
    <row r="2349" spans="28:29">
      <c r="AB2349" s="100"/>
      <c r="AC2349" s="100"/>
    </row>
    <row r="2350" spans="28:29">
      <c r="AB2350" s="100"/>
      <c r="AC2350" s="100"/>
    </row>
    <row r="2351" spans="28:29">
      <c r="AB2351" s="100"/>
      <c r="AC2351" s="100"/>
    </row>
    <row r="2352" spans="28:29">
      <c r="AB2352" s="100"/>
      <c r="AC2352" s="100"/>
    </row>
    <row r="2353" spans="28:29">
      <c r="AB2353" s="100"/>
      <c r="AC2353" s="100"/>
    </row>
    <row r="2354" spans="28:29">
      <c r="AB2354" s="100"/>
      <c r="AC2354" s="100"/>
    </row>
    <row r="2355" spans="28:29">
      <c r="AB2355" s="100"/>
      <c r="AC2355" s="100"/>
    </row>
    <row r="2356" spans="28:29">
      <c r="AB2356" s="100"/>
      <c r="AC2356" s="100"/>
    </row>
    <row r="2357" spans="28:29">
      <c r="AB2357" s="100"/>
      <c r="AC2357" s="100"/>
    </row>
    <row r="2358" spans="28:29">
      <c r="AB2358" s="100"/>
      <c r="AC2358" s="100"/>
    </row>
    <row r="2359" spans="28:29">
      <c r="AB2359" s="100"/>
      <c r="AC2359" s="100"/>
    </row>
    <row r="2360" spans="28:29">
      <c r="AB2360" s="100"/>
      <c r="AC2360" s="100"/>
    </row>
    <row r="2361" spans="28:29">
      <c r="AB2361" s="100"/>
      <c r="AC2361" s="100"/>
    </row>
    <row r="2362" spans="28:29">
      <c r="AB2362" s="100"/>
      <c r="AC2362" s="100"/>
    </row>
    <row r="2363" spans="28:29">
      <c r="AB2363" s="100"/>
      <c r="AC2363" s="100"/>
    </row>
    <row r="2364" spans="28:29">
      <c r="AB2364" s="100"/>
      <c r="AC2364" s="100"/>
    </row>
    <row r="2365" spans="28:29">
      <c r="AB2365" s="100"/>
      <c r="AC2365" s="100"/>
    </row>
    <row r="2366" spans="28:29">
      <c r="AB2366" s="100"/>
      <c r="AC2366" s="100"/>
    </row>
    <row r="2367" spans="28:29">
      <c r="AB2367" s="100"/>
      <c r="AC2367" s="100"/>
    </row>
    <row r="2368" spans="28:29">
      <c r="AB2368" s="100"/>
      <c r="AC2368" s="100"/>
    </row>
    <row r="2369" spans="28:29">
      <c r="AB2369" s="100"/>
      <c r="AC2369" s="100"/>
    </row>
    <row r="2370" spans="28:29">
      <c r="AB2370" s="100"/>
      <c r="AC2370" s="100"/>
    </row>
    <row r="2371" spans="28:29">
      <c r="AB2371" s="100"/>
      <c r="AC2371" s="100"/>
    </row>
    <row r="2372" spans="28:29">
      <c r="AB2372" s="100"/>
      <c r="AC2372" s="100"/>
    </row>
    <row r="2373" spans="28:29">
      <c r="AB2373" s="100"/>
      <c r="AC2373" s="100"/>
    </row>
    <row r="2374" spans="28:29">
      <c r="AB2374" s="100"/>
      <c r="AC2374" s="100"/>
    </row>
    <row r="2375" spans="28:29">
      <c r="AB2375" s="100"/>
      <c r="AC2375" s="100"/>
    </row>
    <row r="2376" spans="28:29">
      <c r="AB2376" s="100"/>
      <c r="AC2376" s="100"/>
    </row>
    <row r="2377" spans="28:29">
      <c r="AB2377" s="100"/>
      <c r="AC2377" s="100"/>
    </row>
    <row r="2378" spans="28:29">
      <c r="AB2378" s="100"/>
      <c r="AC2378" s="100"/>
    </row>
    <row r="2379" spans="28:29">
      <c r="AB2379" s="100"/>
      <c r="AC2379" s="100"/>
    </row>
    <row r="2380" spans="28:29">
      <c r="AB2380" s="100"/>
      <c r="AC2380" s="100"/>
    </row>
    <row r="2381" spans="28:29">
      <c r="AB2381" s="100"/>
      <c r="AC2381" s="100"/>
    </row>
    <row r="2382" spans="28:29">
      <c r="AB2382" s="100"/>
      <c r="AC2382" s="100"/>
    </row>
    <row r="2383" spans="28:29">
      <c r="AB2383" s="100"/>
      <c r="AC2383" s="100"/>
    </row>
    <row r="2384" spans="28:29">
      <c r="AB2384" s="100"/>
      <c r="AC2384" s="100"/>
    </row>
    <row r="2385" spans="28:29">
      <c r="AB2385" s="100"/>
      <c r="AC2385" s="100"/>
    </row>
    <row r="2386" spans="28:29">
      <c r="AB2386" s="100"/>
      <c r="AC2386" s="100"/>
    </row>
    <row r="2387" spans="28:29">
      <c r="AB2387" s="100"/>
      <c r="AC2387" s="100"/>
    </row>
    <row r="2388" spans="28:29">
      <c r="AB2388" s="100"/>
      <c r="AC2388" s="100"/>
    </row>
    <row r="2389" spans="28:29">
      <c r="AB2389" s="100"/>
      <c r="AC2389" s="100"/>
    </row>
    <row r="2390" spans="28:29">
      <c r="AB2390" s="100"/>
      <c r="AC2390" s="100"/>
    </row>
    <row r="2391" spans="28:29">
      <c r="AB2391" s="100"/>
      <c r="AC2391" s="100"/>
    </row>
    <row r="2392" spans="28:29">
      <c r="AB2392" s="100"/>
      <c r="AC2392" s="100"/>
    </row>
    <row r="2393" spans="28:29">
      <c r="AB2393" s="100"/>
      <c r="AC2393" s="100"/>
    </row>
    <row r="2394" spans="28:29">
      <c r="AB2394" s="100"/>
      <c r="AC2394" s="100"/>
    </row>
    <row r="2395" spans="28:29">
      <c r="AB2395" s="100"/>
      <c r="AC2395" s="100"/>
    </row>
    <row r="2396" spans="28:29">
      <c r="AB2396" s="100"/>
      <c r="AC2396" s="100"/>
    </row>
    <row r="2397" spans="28:29">
      <c r="AB2397" s="100"/>
      <c r="AC2397" s="100"/>
    </row>
    <row r="2398" spans="28:29">
      <c r="AB2398" s="100"/>
      <c r="AC2398" s="100"/>
    </row>
    <row r="2399" spans="28:29">
      <c r="AB2399" s="100"/>
      <c r="AC2399" s="100"/>
    </row>
    <row r="2400" spans="28:29">
      <c r="AB2400" s="100"/>
      <c r="AC2400" s="100"/>
    </row>
    <row r="2401" spans="28:29">
      <c r="AB2401" s="100"/>
      <c r="AC2401" s="100"/>
    </row>
    <row r="2402" spans="28:29">
      <c r="AB2402" s="100"/>
      <c r="AC2402" s="100"/>
    </row>
    <row r="2403" spans="28:29">
      <c r="AB2403" s="100"/>
      <c r="AC2403" s="100"/>
    </row>
    <row r="2404" spans="28:29">
      <c r="AB2404" s="100"/>
      <c r="AC2404" s="100"/>
    </row>
    <row r="2405" spans="28:29">
      <c r="AB2405" s="100"/>
      <c r="AC2405" s="100"/>
    </row>
    <row r="2406" spans="28:29">
      <c r="AB2406" s="100"/>
      <c r="AC2406" s="100"/>
    </row>
  </sheetData>
  <mergeCells count="9">
    <mergeCell ref="L26:O26"/>
    <mergeCell ref="AF21:AI21"/>
    <mergeCell ref="L16:O16"/>
    <mergeCell ref="AF1:AH1"/>
    <mergeCell ref="AF11:AI11"/>
    <mergeCell ref="L1:O1"/>
    <mergeCell ref="L2:M2"/>
    <mergeCell ref="N2:O2"/>
    <mergeCell ref="L6:O6"/>
  </mergeCells>
  <phoneticPr fontId="13" type="noConversion"/>
  <dataValidations count="4">
    <dataValidation type="list" allowBlank="1" showInputMessage="1" showErrorMessage="1" sqref="N4 L4">
      <formula1>$AA$2:$AA$8</formula1>
    </dataValidation>
    <dataValidation type="list" allowBlank="1" showInputMessage="1" showErrorMessage="1" sqref="M4">
      <formula1>$AB$2:$AB$25</formula1>
    </dataValidation>
    <dataValidation type="list" allowBlank="1" showInputMessage="1" showErrorMessage="1" sqref="O4">
      <formula1>$AC$3:$AC$25</formula1>
    </dataValidation>
    <dataValidation type="list" allowBlank="1" showInputMessage="1" showErrorMessage="1" sqref="O8:O15 O18:O25 O28:O35">
      <formula1>"1,2"</formula1>
    </dataValidation>
  </dataValidations>
  <hyperlinks>
    <hyperlink ref="A1" r:id="rId1" display="https://dnv-my.sharepoint.com/personal/harmen_dijkstra_dnv_com/Documents/Projects Documents/GU/Warmtepomp/Automatic excel calculations\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ta_in">
                <anchor moveWithCells="1" sizeWithCells="1">
                  <from>
                    <xdr:col>1</xdr:col>
                    <xdr:colOff>514350</xdr:colOff>
                    <xdr:row>5</xdr:row>
                    <xdr:rowOff>28575</xdr:rowOff>
                  </from>
                  <to>
                    <xdr:col>4</xdr:col>
                    <xdr:colOff>352425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asgrafiekenaan">
                <anchor moveWithCells="1" sizeWithCells="1">
                  <from>
                    <xdr:col>1</xdr:col>
                    <xdr:colOff>504825</xdr:colOff>
                    <xdr:row>9</xdr:row>
                    <xdr:rowOff>66675</xdr:rowOff>
                  </from>
                  <to>
                    <xdr:col>4</xdr:col>
                    <xdr:colOff>352425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Data!$D$2:$CA$2</xm:f>
          </x14:formula1>
          <xm:sqref>L8:L15 L18:L25 L28:L35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C17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J3" sqref="J3:AE5"/>
    </sheetView>
  </sheetViews>
  <sheetFormatPr defaultColWidth="9.125" defaultRowHeight="14.25"/>
  <cols>
    <col min="1" max="1" width="11.125" style="114" bestFit="1" customWidth="1"/>
    <col min="2" max="2" width="10.375" style="113" bestFit="1" customWidth="1"/>
    <col min="3" max="3" width="8.125" style="112" bestFit="1" customWidth="1"/>
    <col min="4" max="4" width="6.75" style="112" bestFit="1" customWidth="1"/>
    <col min="5" max="5" width="7.125" style="112" bestFit="1" customWidth="1"/>
    <col min="6" max="6" width="4.75" style="112" bestFit="1" customWidth="1"/>
    <col min="7" max="7" width="8.75" style="112" bestFit="1" customWidth="1"/>
    <col min="8" max="8" width="8.625" style="112" bestFit="1" customWidth="1"/>
    <col min="9" max="9" width="10.25" style="112" bestFit="1" customWidth="1"/>
    <col min="10" max="11" width="10.625" style="112" bestFit="1" customWidth="1"/>
    <col min="12" max="12" width="9.5" style="112" bestFit="1" customWidth="1"/>
    <col min="13" max="13" width="8.25" style="112" bestFit="1" customWidth="1"/>
    <col min="14" max="15" width="10" style="112" bestFit="1" customWidth="1"/>
    <col min="16" max="17" width="11" style="112" bestFit="1" customWidth="1"/>
    <col min="18" max="19" width="6.5" style="112" bestFit="1" customWidth="1"/>
    <col min="20" max="20" width="8" style="112" bestFit="1" customWidth="1"/>
    <col min="21" max="21" width="9.125" style="112" bestFit="1" customWidth="1"/>
    <col min="22" max="22" width="5.75" style="112" bestFit="1" customWidth="1"/>
    <col min="23" max="23" width="7.125" style="112" bestFit="1" customWidth="1"/>
    <col min="24" max="24" width="6.5" style="112" bestFit="1" customWidth="1"/>
    <col min="25" max="25" width="6.625" style="112" bestFit="1" customWidth="1"/>
    <col min="26" max="26" width="6" style="112" bestFit="1" customWidth="1"/>
    <col min="27" max="27" width="8.25" style="112" bestFit="1" customWidth="1"/>
    <col min="28" max="28" width="9.125" style="112" bestFit="1" customWidth="1"/>
    <col min="29" max="29" width="8.375" style="112" bestFit="1" customWidth="1"/>
    <col min="30" max="30" width="6.625" style="112" bestFit="1" customWidth="1"/>
    <col min="31" max="31" width="8.875" style="112" bestFit="1" customWidth="1"/>
    <col min="32" max="32" width="10.875" style="112" bestFit="1" customWidth="1"/>
    <col min="33" max="33" width="9.875" style="112" bestFit="1" customWidth="1"/>
    <col min="34" max="34" width="10.125" style="112" bestFit="1" customWidth="1"/>
    <col min="35" max="35" width="12" style="112" bestFit="1" customWidth="1"/>
    <col min="36" max="36" width="10.125" style="112" bestFit="1" customWidth="1"/>
    <col min="37" max="37" width="12" style="112" bestFit="1" customWidth="1"/>
    <col min="38" max="38" width="10.875" style="112" bestFit="1" customWidth="1"/>
    <col min="39" max="40" width="12" style="112" bestFit="1" customWidth="1"/>
    <col min="41" max="41" width="11.75" style="112" bestFit="1" customWidth="1"/>
    <col min="42" max="44" width="12" style="112" bestFit="1" customWidth="1"/>
    <col min="45" max="45" width="11.375" style="112" bestFit="1" customWidth="1"/>
    <col min="46" max="46" width="6.625" style="112" bestFit="1" customWidth="1"/>
    <col min="47" max="47" width="12" style="112" bestFit="1" customWidth="1"/>
    <col min="48" max="48" width="8.25" style="112" bestFit="1" customWidth="1"/>
    <col min="49" max="49" width="9.625" style="112" bestFit="1" customWidth="1"/>
    <col min="50" max="50" width="10.75" style="112" bestFit="1" customWidth="1"/>
    <col min="51" max="51" width="6.875" style="112" bestFit="1" customWidth="1"/>
    <col min="52" max="52" width="12" style="112" bestFit="1" customWidth="1"/>
    <col min="53" max="53" width="9.125" style="112"/>
    <col min="54" max="54" width="12.625" style="112" bestFit="1" customWidth="1"/>
    <col min="55" max="16384" width="9.125" style="112"/>
  </cols>
  <sheetData>
    <row r="1" spans="1:55">
      <c r="A1" s="115"/>
      <c r="B1" s="116"/>
      <c r="C1" s="117"/>
      <c r="D1" s="117"/>
      <c r="E1" s="117"/>
      <c r="F1" s="117"/>
      <c r="G1" s="117"/>
      <c r="H1" s="117"/>
      <c r="I1" s="117"/>
      <c r="J1" s="117" t="s">
        <v>290</v>
      </c>
      <c r="K1" s="117" t="s">
        <v>292</v>
      </c>
      <c r="L1" s="117" t="s">
        <v>294</v>
      </c>
      <c r="M1" s="117" t="s">
        <v>296</v>
      </c>
      <c r="N1" s="117" t="s">
        <v>298</v>
      </c>
      <c r="O1" s="117" t="s">
        <v>300</v>
      </c>
      <c r="P1" s="117" t="s">
        <v>302</v>
      </c>
      <c r="Q1" s="117" t="s">
        <v>304</v>
      </c>
      <c r="R1" s="117" t="s">
        <v>306</v>
      </c>
      <c r="S1" s="117" t="s">
        <v>307</v>
      </c>
      <c r="T1" s="117" t="s">
        <v>308</v>
      </c>
      <c r="U1" s="117" t="s">
        <v>309</v>
      </c>
      <c r="V1" s="117" t="s">
        <v>311</v>
      </c>
      <c r="W1" s="117" t="s">
        <v>312</v>
      </c>
      <c r="X1" s="117" t="s">
        <v>314</v>
      </c>
      <c r="Y1" s="117" t="s">
        <v>315</v>
      </c>
      <c r="Z1" s="117" t="s">
        <v>317</v>
      </c>
      <c r="AA1" s="117" t="s">
        <v>319</v>
      </c>
      <c r="AB1" s="117" t="s">
        <v>320</v>
      </c>
      <c r="AC1" s="117" t="s">
        <v>321</v>
      </c>
      <c r="AD1" s="117" t="s">
        <v>322</v>
      </c>
      <c r="AE1" s="117"/>
      <c r="AF1" s="117"/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</row>
    <row r="2" spans="1:55">
      <c r="A2" s="115"/>
      <c r="B2" s="116"/>
      <c r="C2" s="117"/>
      <c r="D2" s="117"/>
      <c r="E2" s="117"/>
      <c r="F2" s="117"/>
      <c r="G2" s="117"/>
      <c r="H2" s="117"/>
      <c r="I2" s="117"/>
      <c r="J2" s="117" t="s">
        <v>291</v>
      </c>
      <c r="K2" s="117" t="s">
        <v>293</v>
      </c>
      <c r="L2" s="117" t="s">
        <v>295</v>
      </c>
      <c r="M2" s="117" t="s">
        <v>297</v>
      </c>
      <c r="N2" s="117" t="s">
        <v>299</v>
      </c>
      <c r="O2" s="117" t="s">
        <v>301</v>
      </c>
      <c r="P2" s="117" t="s">
        <v>303</v>
      </c>
      <c r="Q2" s="117" t="s">
        <v>305</v>
      </c>
      <c r="R2" s="117" t="s">
        <v>213</v>
      </c>
      <c r="S2" s="117" t="s">
        <v>214</v>
      </c>
      <c r="T2" s="117" t="s">
        <v>14</v>
      </c>
      <c r="U2" s="117" t="s">
        <v>310</v>
      </c>
      <c r="V2" s="117" t="s">
        <v>215</v>
      </c>
      <c r="W2" s="117" t="s">
        <v>313</v>
      </c>
      <c r="X2" s="117" t="s">
        <v>16</v>
      </c>
      <c r="Y2" s="117" t="s">
        <v>316</v>
      </c>
      <c r="Z2" s="117" t="s">
        <v>318</v>
      </c>
      <c r="AA2" s="117" t="s">
        <v>281</v>
      </c>
      <c r="AB2" s="117" t="s">
        <v>17</v>
      </c>
      <c r="AC2" s="117" t="s">
        <v>282</v>
      </c>
      <c r="AD2" s="117" t="s">
        <v>283</v>
      </c>
      <c r="AE2" s="117"/>
      <c r="AF2" s="117"/>
      <c r="AG2" s="117"/>
      <c r="AH2" s="117"/>
      <c r="AI2" s="117"/>
      <c r="AJ2" s="117"/>
      <c r="AK2" s="117"/>
      <c r="AL2" s="117"/>
      <c r="AM2" s="117"/>
      <c r="AN2" s="117"/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7"/>
      <c r="AZ2" s="117"/>
      <c r="BA2" s="117"/>
      <c r="BB2" s="117"/>
      <c r="BC2" s="117"/>
    </row>
    <row r="3" spans="1:55">
      <c r="A3" s="115"/>
      <c r="B3" s="116"/>
      <c r="C3" s="117"/>
      <c r="D3" s="117"/>
      <c r="E3" s="117"/>
      <c r="F3" s="117"/>
      <c r="G3" s="117"/>
      <c r="H3" s="117"/>
      <c r="I3" s="117"/>
      <c r="J3" s="112">
        <v>0</v>
      </c>
      <c r="K3" s="112">
        <v>0</v>
      </c>
      <c r="L3" s="112">
        <v>0</v>
      </c>
      <c r="M3" s="112" t="s">
        <v>323</v>
      </c>
      <c r="N3" s="112" t="s">
        <v>323</v>
      </c>
      <c r="O3" s="112" t="s">
        <v>323</v>
      </c>
      <c r="P3" s="112">
        <v>0</v>
      </c>
      <c r="Q3" s="112">
        <v>0</v>
      </c>
      <c r="R3" s="112">
        <v>0</v>
      </c>
      <c r="S3" s="112">
        <v>0</v>
      </c>
      <c r="T3" s="112" t="s">
        <v>323</v>
      </c>
      <c r="U3" s="112">
        <v>0</v>
      </c>
      <c r="V3" s="112" t="s">
        <v>323</v>
      </c>
      <c r="W3" s="112" t="s">
        <v>323</v>
      </c>
      <c r="X3" s="112">
        <v>0</v>
      </c>
      <c r="Y3" s="112">
        <v>0</v>
      </c>
      <c r="Z3" s="112">
        <v>0</v>
      </c>
      <c r="AA3" s="112" t="s">
        <v>323</v>
      </c>
      <c r="AB3" s="112" t="s">
        <v>323</v>
      </c>
      <c r="AC3" s="112" t="s">
        <v>323</v>
      </c>
      <c r="AD3" s="112" t="s">
        <v>323</v>
      </c>
      <c r="AF3" s="117"/>
      <c r="AG3" s="117"/>
      <c r="AH3" s="117"/>
      <c r="AI3" s="117"/>
      <c r="AJ3" s="117"/>
      <c r="AK3" s="117"/>
      <c r="AL3" s="117"/>
      <c r="AM3" s="117"/>
      <c r="AN3" s="117"/>
      <c r="AO3" s="117"/>
      <c r="AP3" s="117"/>
      <c r="AQ3" s="117"/>
      <c r="AR3" s="117"/>
      <c r="AS3" s="117"/>
      <c r="AT3" s="117"/>
      <c r="AU3" s="117"/>
      <c r="AV3" s="117"/>
      <c r="AW3" s="117"/>
      <c r="AX3" s="117"/>
      <c r="AY3" s="117"/>
      <c r="AZ3" s="117"/>
      <c r="BA3" s="117"/>
      <c r="BB3" s="117"/>
      <c r="BC3" s="117"/>
    </row>
    <row r="4" spans="1:55">
      <c r="A4" s="115"/>
      <c r="J4" s="112">
        <v>0</v>
      </c>
      <c r="K4" s="112">
        <v>0</v>
      </c>
      <c r="L4" s="112">
        <v>0</v>
      </c>
      <c r="M4" s="112" t="s">
        <v>323</v>
      </c>
      <c r="N4" s="112" t="s">
        <v>323</v>
      </c>
      <c r="O4" s="112" t="s">
        <v>323</v>
      </c>
      <c r="P4" s="112">
        <v>0</v>
      </c>
      <c r="Q4" s="112">
        <v>0</v>
      </c>
      <c r="R4" s="112">
        <v>0</v>
      </c>
      <c r="S4" s="112">
        <v>0</v>
      </c>
      <c r="T4" s="112" t="s">
        <v>323</v>
      </c>
      <c r="U4" s="112">
        <v>0</v>
      </c>
      <c r="V4" s="112" t="s">
        <v>323</v>
      </c>
      <c r="W4" s="112" t="s">
        <v>323</v>
      </c>
      <c r="X4" s="112">
        <v>0</v>
      </c>
      <c r="Y4" s="112">
        <v>0</v>
      </c>
      <c r="Z4" s="112">
        <v>0</v>
      </c>
      <c r="AA4" s="112" t="s">
        <v>323</v>
      </c>
      <c r="AB4" s="112" t="s">
        <v>323</v>
      </c>
      <c r="AC4" s="112" t="s">
        <v>323</v>
      </c>
      <c r="AD4" s="112" t="s">
        <v>323</v>
      </c>
    </row>
    <row r="5" spans="1:55">
      <c r="A5" s="115"/>
      <c r="J5" s="112">
        <v>0</v>
      </c>
      <c r="K5" s="112">
        <v>0</v>
      </c>
      <c r="L5" s="112">
        <v>0</v>
      </c>
      <c r="M5" s="112" t="s">
        <v>323</v>
      </c>
      <c r="N5" s="112" t="s">
        <v>323</v>
      </c>
      <c r="O5" s="112" t="s">
        <v>323</v>
      </c>
      <c r="P5" s="112">
        <v>0</v>
      </c>
      <c r="Q5" s="112">
        <v>0</v>
      </c>
      <c r="R5" s="112">
        <v>0</v>
      </c>
      <c r="S5" s="112">
        <v>0</v>
      </c>
      <c r="T5" s="112" t="s">
        <v>323</v>
      </c>
      <c r="U5" s="112">
        <v>0</v>
      </c>
      <c r="V5" s="112" t="s">
        <v>323</v>
      </c>
      <c r="W5" s="112" t="s">
        <v>323</v>
      </c>
      <c r="X5" s="112">
        <v>0</v>
      </c>
      <c r="Y5" s="112">
        <v>0</v>
      </c>
      <c r="Z5" s="112">
        <v>0</v>
      </c>
      <c r="AA5" s="112" t="s">
        <v>323</v>
      </c>
      <c r="AB5" s="112" t="s">
        <v>323</v>
      </c>
      <c r="AC5" s="112" t="s">
        <v>323</v>
      </c>
      <c r="AD5" s="112" t="s">
        <v>323</v>
      </c>
    </row>
    <row r="6" spans="1:55">
      <c r="A6" s="115"/>
    </row>
    <row r="7" spans="1:55">
      <c r="A7" s="115"/>
    </row>
    <row r="8" spans="1:55">
      <c r="A8" s="115"/>
    </row>
    <row r="9" spans="1:55">
      <c r="A9" s="115"/>
    </row>
    <row r="10" spans="1:55">
      <c r="A10" s="115"/>
    </row>
    <row r="11" spans="1:55">
      <c r="A11" s="115"/>
    </row>
    <row r="12" spans="1:55">
      <c r="A12" s="115"/>
    </row>
    <row r="13" spans="1:55">
      <c r="A13" s="115"/>
    </row>
    <row r="14" spans="1:55">
      <c r="A14" s="115"/>
    </row>
    <row r="15" spans="1:55">
      <c r="A15" s="115"/>
    </row>
    <row r="16" spans="1:55">
      <c r="A16" s="115"/>
    </row>
    <row r="17" spans="1:1">
      <c r="A17" s="115"/>
    </row>
    <row r="18" spans="1:1">
      <c r="A18" s="115"/>
    </row>
    <row r="19" spans="1:1">
      <c r="A19" s="115"/>
    </row>
    <row r="20" spans="1:1">
      <c r="A20" s="115"/>
    </row>
    <row r="21" spans="1:1">
      <c r="A21" s="115"/>
    </row>
    <row r="22" spans="1:1">
      <c r="A22" s="115"/>
    </row>
    <row r="23" spans="1:1">
      <c r="A23" s="115"/>
    </row>
    <row r="24" spans="1:1">
      <c r="A24" s="115"/>
    </row>
    <row r="25" spans="1:1">
      <c r="A25" s="115"/>
    </row>
    <row r="26" spans="1:1">
      <c r="A26" s="115"/>
    </row>
    <row r="27" spans="1:1">
      <c r="A27" s="115"/>
    </row>
    <row r="28" spans="1:1">
      <c r="A28" s="115"/>
    </row>
    <row r="29" spans="1:1">
      <c r="A29" s="115"/>
    </row>
    <row r="30" spans="1:1">
      <c r="A30" s="115"/>
    </row>
    <row r="31" spans="1:1">
      <c r="A31" s="115"/>
    </row>
    <row r="32" spans="1:1">
      <c r="A32" s="115"/>
    </row>
    <row r="33" spans="1:1">
      <c r="A33" s="115"/>
    </row>
    <row r="34" spans="1:1">
      <c r="A34" s="115"/>
    </row>
    <row r="35" spans="1:1">
      <c r="A35" s="115"/>
    </row>
    <row r="36" spans="1:1">
      <c r="A36" s="115"/>
    </row>
    <row r="37" spans="1:1">
      <c r="A37" s="115"/>
    </row>
    <row r="38" spans="1:1">
      <c r="A38" s="115"/>
    </row>
    <row r="39" spans="1:1">
      <c r="A39" s="115"/>
    </row>
    <row r="40" spans="1:1">
      <c r="A40" s="115"/>
    </row>
    <row r="41" spans="1:1">
      <c r="A41" s="115"/>
    </row>
    <row r="42" spans="1:1">
      <c r="A42" s="115"/>
    </row>
    <row r="43" spans="1:1">
      <c r="A43" s="115"/>
    </row>
    <row r="44" spans="1:1">
      <c r="A44" s="115"/>
    </row>
    <row r="45" spans="1:1">
      <c r="A45" s="115"/>
    </row>
    <row r="46" spans="1:1">
      <c r="A46" s="115"/>
    </row>
    <row r="47" spans="1:1">
      <c r="A47" s="115"/>
    </row>
    <row r="48" spans="1:1">
      <c r="A48" s="115"/>
    </row>
    <row r="49" spans="1:1">
      <c r="A49" s="115"/>
    </row>
    <row r="50" spans="1:1">
      <c r="A50" s="115"/>
    </row>
    <row r="51" spans="1:1">
      <c r="A51" s="115"/>
    </row>
    <row r="52" spans="1:1">
      <c r="A52" s="115"/>
    </row>
    <row r="53" spans="1:1">
      <c r="A53" s="115"/>
    </row>
    <row r="54" spans="1:1">
      <c r="A54" s="115"/>
    </row>
    <row r="55" spans="1:1">
      <c r="A55" s="115"/>
    </row>
    <row r="56" spans="1:1">
      <c r="A56" s="115"/>
    </row>
    <row r="57" spans="1:1">
      <c r="A57" s="115"/>
    </row>
    <row r="58" spans="1:1">
      <c r="A58" s="115"/>
    </row>
    <row r="59" spans="1:1">
      <c r="A59" s="115"/>
    </row>
    <row r="60" spans="1:1">
      <c r="A60" s="115"/>
    </row>
    <row r="61" spans="1:1">
      <c r="A61" s="115"/>
    </row>
    <row r="62" spans="1:1">
      <c r="A62" s="115"/>
    </row>
    <row r="63" spans="1:1">
      <c r="A63" s="115"/>
    </row>
    <row r="64" spans="1:1">
      <c r="A64" s="115"/>
    </row>
    <row r="65" spans="1:1">
      <c r="A65" s="115"/>
    </row>
    <row r="66" spans="1:1">
      <c r="A66" s="115"/>
    </row>
    <row r="67" spans="1:1">
      <c r="A67" s="115"/>
    </row>
    <row r="68" spans="1:1">
      <c r="A68" s="115"/>
    </row>
    <row r="69" spans="1:1">
      <c r="A69" s="115"/>
    </row>
    <row r="70" spans="1:1">
      <c r="A70" s="115"/>
    </row>
    <row r="71" spans="1:1">
      <c r="A71" s="115"/>
    </row>
    <row r="72" spans="1:1">
      <c r="A72" s="115"/>
    </row>
    <row r="73" spans="1:1">
      <c r="A73" s="115"/>
    </row>
    <row r="74" spans="1:1">
      <c r="A74" s="115"/>
    </row>
    <row r="75" spans="1:1">
      <c r="A75" s="115"/>
    </row>
    <row r="76" spans="1:1">
      <c r="A76" s="115"/>
    </row>
    <row r="77" spans="1:1">
      <c r="A77" s="115"/>
    </row>
    <row r="78" spans="1:1">
      <c r="A78" s="115"/>
    </row>
    <row r="79" spans="1:1">
      <c r="A79" s="115"/>
    </row>
    <row r="80" spans="1:1">
      <c r="A80" s="115"/>
    </row>
    <row r="81" spans="1:1">
      <c r="A81" s="115"/>
    </row>
    <row r="82" spans="1:1">
      <c r="A82" s="115"/>
    </row>
    <row r="83" spans="1:1">
      <c r="A83" s="115"/>
    </row>
    <row r="84" spans="1:1">
      <c r="A84" s="115"/>
    </row>
    <row r="85" spans="1:1">
      <c r="A85" s="115"/>
    </row>
    <row r="86" spans="1:1">
      <c r="A86" s="115"/>
    </row>
    <row r="87" spans="1:1">
      <c r="A87" s="115"/>
    </row>
    <row r="88" spans="1:1">
      <c r="A88" s="115"/>
    </row>
    <row r="89" spans="1:1">
      <c r="A89" s="115"/>
    </row>
    <row r="90" spans="1:1">
      <c r="A90" s="115"/>
    </row>
    <row r="91" spans="1:1">
      <c r="A91" s="115"/>
    </row>
    <row r="92" spans="1:1">
      <c r="A92" s="115"/>
    </row>
    <row r="93" spans="1:1">
      <c r="A93" s="115"/>
    </row>
    <row r="94" spans="1:1">
      <c r="A94" s="115"/>
    </row>
    <row r="95" spans="1:1">
      <c r="A95" s="115"/>
    </row>
    <row r="96" spans="1:1">
      <c r="A96" s="115"/>
    </row>
    <row r="97" spans="1:1">
      <c r="A97" s="115"/>
    </row>
    <row r="98" spans="1:1">
      <c r="A98" s="115"/>
    </row>
    <row r="99" spans="1:1">
      <c r="A99" s="115"/>
    </row>
    <row r="100" spans="1:1">
      <c r="A100" s="115"/>
    </row>
    <row r="101" spans="1:1">
      <c r="A101" s="115"/>
    </row>
    <row r="102" spans="1:1">
      <c r="A102" s="115"/>
    </row>
    <row r="103" spans="1:1">
      <c r="A103" s="115"/>
    </row>
    <row r="104" spans="1:1">
      <c r="A104" s="115"/>
    </row>
    <row r="105" spans="1:1">
      <c r="A105" s="115"/>
    </row>
    <row r="106" spans="1:1">
      <c r="A106" s="115"/>
    </row>
    <row r="107" spans="1:1">
      <c r="A107" s="115"/>
    </row>
    <row r="108" spans="1:1">
      <c r="A108" s="115"/>
    </row>
    <row r="109" spans="1:1">
      <c r="A109" s="115"/>
    </row>
    <row r="110" spans="1:1">
      <c r="A110" s="115"/>
    </row>
    <row r="111" spans="1:1">
      <c r="A111" s="115"/>
    </row>
    <row r="112" spans="1:1">
      <c r="A112" s="115"/>
    </row>
    <row r="113" spans="1:1">
      <c r="A113" s="115"/>
    </row>
    <row r="114" spans="1:1">
      <c r="A114" s="115"/>
    </row>
    <row r="115" spans="1:1">
      <c r="A115" s="115"/>
    </row>
    <row r="116" spans="1:1">
      <c r="A116" s="115"/>
    </row>
    <row r="117" spans="1:1">
      <c r="A117" s="115"/>
    </row>
    <row r="118" spans="1:1">
      <c r="A118" s="115"/>
    </row>
    <row r="119" spans="1:1">
      <c r="A119" s="115"/>
    </row>
    <row r="120" spans="1:1">
      <c r="A120" s="115"/>
    </row>
    <row r="121" spans="1:1">
      <c r="A121" s="115"/>
    </row>
    <row r="122" spans="1:1">
      <c r="A122" s="115"/>
    </row>
    <row r="123" spans="1:1">
      <c r="A123" s="115"/>
    </row>
    <row r="124" spans="1:1">
      <c r="A124" s="115"/>
    </row>
    <row r="125" spans="1:1">
      <c r="A125" s="115"/>
    </row>
    <row r="126" spans="1:1">
      <c r="A126" s="115"/>
    </row>
    <row r="127" spans="1:1">
      <c r="A127" s="115"/>
    </row>
    <row r="128" spans="1:1">
      <c r="A128" s="115"/>
    </row>
    <row r="129" spans="1:1">
      <c r="A129" s="115"/>
    </row>
    <row r="130" spans="1:1">
      <c r="A130" s="115"/>
    </row>
    <row r="131" spans="1:1">
      <c r="A131" s="115"/>
    </row>
    <row r="132" spans="1:1">
      <c r="A132" s="115"/>
    </row>
    <row r="133" spans="1:1">
      <c r="A133" s="115"/>
    </row>
    <row r="134" spans="1:1">
      <c r="A134" s="115"/>
    </row>
    <row r="135" spans="1:1">
      <c r="A135" s="115"/>
    </row>
    <row r="136" spans="1:1">
      <c r="A136" s="115"/>
    </row>
    <row r="137" spans="1:1">
      <c r="A137" s="115"/>
    </row>
    <row r="138" spans="1:1">
      <c r="A138" s="115"/>
    </row>
    <row r="139" spans="1:1">
      <c r="A139" s="115"/>
    </row>
    <row r="140" spans="1:1">
      <c r="A140" s="115"/>
    </row>
    <row r="141" spans="1:1">
      <c r="A141" s="115"/>
    </row>
    <row r="142" spans="1:1">
      <c r="A142" s="115"/>
    </row>
    <row r="143" spans="1:1">
      <c r="A143" s="115"/>
    </row>
    <row r="144" spans="1:1">
      <c r="A144" s="115"/>
    </row>
    <row r="145" spans="1:1">
      <c r="A145" s="115"/>
    </row>
    <row r="146" spans="1:1">
      <c r="A146" s="115"/>
    </row>
    <row r="147" spans="1:1">
      <c r="A147" s="115"/>
    </row>
    <row r="148" spans="1:1">
      <c r="A148" s="115"/>
    </row>
    <row r="149" spans="1:1">
      <c r="A149" s="115"/>
    </row>
    <row r="150" spans="1:1">
      <c r="A150" s="115"/>
    </row>
    <row r="151" spans="1:1">
      <c r="A151" s="115"/>
    </row>
    <row r="152" spans="1:1">
      <c r="A152" s="115"/>
    </row>
    <row r="153" spans="1:1">
      <c r="A153" s="115"/>
    </row>
    <row r="154" spans="1:1">
      <c r="A154" s="115"/>
    </row>
    <row r="155" spans="1:1">
      <c r="A155" s="115"/>
    </row>
    <row r="156" spans="1:1">
      <c r="A156" s="115"/>
    </row>
    <row r="157" spans="1:1">
      <c r="A157" s="115"/>
    </row>
    <row r="158" spans="1:1">
      <c r="A158" s="115"/>
    </row>
    <row r="159" spans="1:1">
      <c r="A159" s="115"/>
    </row>
    <row r="160" spans="1:1">
      <c r="A160" s="115"/>
    </row>
    <row r="161" spans="1:1">
      <c r="A161" s="115"/>
    </row>
    <row r="162" spans="1:1">
      <c r="A162" s="115"/>
    </row>
    <row r="163" spans="1:1">
      <c r="A163" s="115"/>
    </row>
    <row r="164" spans="1:1">
      <c r="A164" s="115"/>
    </row>
    <row r="165" spans="1:1">
      <c r="A165" s="115"/>
    </row>
    <row r="166" spans="1:1">
      <c r="A166" s="115"/>
    </row>
    <row r="167" spans="1:1">
      <c r="A167" s="115"/>
    </row>
    <row r="168" spans="1:1">
      <c r="A168" s="115"/>
    </row>
    <row r="169" spans="1:1">
      <c r="A169" s="115"/>
    </row>
    <row r="170" spans="1:1">
      <c r="A170" s="115"/>
    </row>
    <row r="171" spans="1:1">
      <c r="A171" s="115"/>
    </row>
  </sheetData>
  <phoneticPr fontId="1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G22" sqref="G22"/>
    </sheetView>
  </sheetViews>
  <sheetFormatPr defaultRowHeight="14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78"/>
  <sheetViews>
    <sheetView workbookViewId="0">
      <selection activeCell="B2" sqref="B2"/>
    </sheetView>
  </sheetViews>
  <sheetFormatPr defaultColWidth="9.125" defaultRowHeight="14.25"/>
  <cols>
    <col min="1" max="1" width="7.625" style="103" customWidth="1"/>
    <col min="2" max="2" width="17.25" style="70" customWidth="1"/>
    <col min="3" max="3" width="11.75" style="70" customWidth="1"/>
    <col min="4" max="4" width="14.375" style="70" customWidth="1"/>
    <col min="5" max="8" width="12" style="70" customWidth="1"/>
    <col min="9" max="15" width="13" style="70" customWidth="1"/>
    <col min="16" max="16384" width="9.125" style="70"/>
  </cols>
  <sheetData>
    <row r="1" spans="1:17" ht="21.75" thickTop="1" thickBot="1">
      <c r="B1" s="141" t="s">
        <v>330</v>
      </c>
      <c r="C1" s="142"/>
      <c r="D1" s="142"/>
      <c r="E1" s="142"/>
      <c r="F1" s="142"/>
      <c r="G1" s="142"/>
      <c r="H1" s="142"/>
      <c r="I1" s="143" t="e">
        <f ca="1">MATCH(I4,Data!$B:$B,0)</f>
        <v>#N/A</v>
      </c>
      <c r="J1" s="143" t="e">
        <f ca="1">MATCH(J4,Data!$B:$B,0)</f>
        <v>#N/A</v>
      </c>
      <c r="K1" s="143" t="e">
        <f ca="1">MATCH(K4,Data!$B:$B,0)</f>
        <v>#N/A</v>
      </c>
      <c r="L1" s="143" t="e">
        <f ca="1">MATCH(L4,Data!$B:$B,0)</f>
        <v>#N/A</v>
      </c>
      <c r="M1" s="143" t="e">
        <f ca="1">MATCH(M4,Data!$B:$B,0)</f>
        <v>#N/A</v>
      </c>
      <c r="N1" s="143" t="e">
        <f ca="1">MATCH(N4,Data!$B:$B,0)</f>
        <v>#N/A</v>
      </c>
      <c r="O1" s="144" t="e">
        <f ca="1">MATCH(O4,Data!$B:$B,0)</f>
        <v>#N/A</v>
      </c>
      <c r="P1" s="95" t="e">
        <f ca="1">A3+1</f>
        <v>#N/A</v>
      </c>
    </row>
    <row r="2" spans="1:17" ht="15.75" thickTop="1">
      <c r="A2" s="103" t="e">
        <f ca="1">Control!Z6</f>
        <v>#N/A</v>
      </c>
      <c r="B2" s="118" t="s">
        <v>258</v>
      </c>
      <c r="C2" s="119" t="e">
        <f ca="1">Control!B4</f>
        <v>#VALUE!</v>
      </c>
      <c r="D2" s="120"/>
      <c r="E2" s="121" t="s">
        <v>256</v>
      </c>
      <c r="F2" s="122" t="str">
        <f>Control!L4</f>
        <v>28-10-2024</v>
      </c>
      <c r="G2" s="123" t="s">
        <v>257</v>
      </c>
      <c r="H2" s="124" t="str">
        <f>Control!N4</f>
        <v>03-11-2024</v>
      </c>
      <c r="I2" s="165" t="s">
        <v>255</v>
      </c>
      <c r="J2" s="166"/>
      <c r="K2" s="166"/>
      <c r="L2" s="166"/>
      <c r="M2" s="166"/>
      <c r="N2" s="166"/>
      <c r="O2" s="167"/>
    </row>
    <row r="3" spans="1:17" ht="15">
      <c r="A3" s="103" t="e">
        <f ca="1">Control!Z7</f>
        <v>#N/A</v>
      </c>
      <c r="B3" s="125"/>
      <c r="C3" s="91"/>
      <c r="D3" s="90"/>
      <c r="E3" s="84"/>
      <c r="F3" s="84" t="str">
        <f>Control!M4</f>
        <v>00:00:00</v>
      </c>
      <c r="G3" s="84"/>
      <c r="H3" s="85" t="str">
        <f>Control!O4</f>
        <v>23:00:00</v>
      </c>
      <c r="I3" s="88" t="e">
        <f t="array" aca="1" ref="I3" ca="1">dagvanweek(WEEKDAY(DATE(IF(LEN(RIGHT(I4,4))=4,RIGHT(I4,4),RIGHT(I4,2)),MID(I4,4,2),LEFT(I4,2))))</f>
        <v>#VALUE!</v>
      </c>
      <c r="J3" s="88" t="e">
        <f t="array" aca="1" ref="J3" ca="1">dagvanweek(WEEKDAY(DATE(IF(LEN(RIGHT(J4,4))=4,RIGHT(J4,4),RIGHT(J4,2)),MID(J4,4,2),LEFT(J4,2))))</f>
        <v>#VALUE!</v>
      </c>
      <c r="K3" s="88" t="e">
        <f t="array" aca="1" ref="K3" ca="1">dagvanweek(WEEKDAY(DATE(IF(LEN(RIGHT(K4,4))=4,RIGHT(K4,4),RIGHT(K4,2)),MID(K4,4,2),LEFT(K4,2))))</f>
        <v>#VALUE!</v>
      </c>
      <c r="L3" s="88" t="e">
        <f t="array" aca="1" ref="L3" ca="1">dagvanweek(WEEKDAY(DATE(IF(LEN(RIGHT(L4,4))=4,RIGHT(L4,4),RIGHT(L4,2)),MID(L4,4,2),LEFT(L4,2))))</f>
        <v>#VALUE!</v>
      </c>
      <c r="M3" s="88" t="e">
        <f t="array" aca="1" ref="M3" ca="1">dagvanweek(WEEKDAY(DATE(IF(LEN(RIGHT(M4,4))=4,RIGHT(M4,4),RIGHT(M4,2)),MID(M4,4,2),LEFT(M4,2))))</f>
        <v>#VALUE!</v>
      </c>
      <c r="N3" s="88" t="e">
        <f t="array" aca="1" ref="N3" ca="1">dagvanweek(WEEKDAY(DATE(IF(LEN(RIGHT(N4,4))=4,RIGHT(N4,4),RIGHT(N4,2)),MID(N4,4,2),LEFT(N4,2))))</f>
        <v>#VALUE!</v>
      </c>
      <c r="O3" s="126" t="e">
        <f t="array" aca="1" ref="O3" ca="1">dagvanweek(WEEKDAY(DATE(IF(LEN(RIGHT(O4,4))=4,RIGHT(O4,4),RIGHT(O4,2)),MID(O4,4,2),LEFT(O4,2))))</f>
        <v>#VALUE!</v>
      </c>
      <c r="Q3" s="69" t="str">
        <f ca="1">RIGHT(L4,2)</f>
        <v/>
      </c>
    </row>
    <row r="4" spans="1:17" ht="15">
      <c r="B4" s="127" t="s">
        <v>248</v>
      </c>
      <c r="C4" s="92" t="s">
        <v>249</v>
      </c>
      <c r="D4" s="92" t="s">
        <v>250</v>
      </c>
      <c r="E4" s="86" t="s">
        <v>251</v>
      </c>
      <c r="F4" s="86" t="s">
        <v>252</v>
      </c>
      <c r="G4" s="86" t="s">
        <v>253</v>
      </c>
      <c r="H4" s="87" t="s">
        <v>254</v>
      </c>
      <c r="I4" s="89">
        <f ca="1">Control!AA2</f>
        <v>0</v>
      </c>
      <c r="J4" s="89" t="str">
        <f ca="1">Control!AA3</f>
        <v/>
      </c>
      <c r="K4" s="89" t="str">
        <f ca="1">Control!AA4</f>
        <v/>
      </c>
      <c r="L4" s="89" t="str">
        <f ca="1">Control!AA5</f>
        <v/>
      </c>
      <c r="M4" s="89" t="str">
        <f ca="1">Control!AA6</f>
        <v/>
      </c>
      <c r="N4" s="89" t="str">
        <f ca="1">Control!AA7</f>
        <v/>
      </c>
      <c r="O4" s="128" t="str">
        <f ca="1">Control!AA8</f>
        <v/>
      </c>
    </row>
    <row r="5" spans="1:17">
      <c r="A5" s="103" t="str">
        <f>Control!AE5</f>
        <v>D</v>
      </c>
      <c r="B5" s="153">
        <f t="array" aca="1" ref="B5" ca="1">INDIRECT("Data!" &amp; $A5 &amp; 2)</f>
        <v>0</v>
      </c>
      <c r="C5" s="93">
        <f t="array" aca="1" ref="C5" ca="1">INDIRECT("Data!" &amp; $A5 &amp; 3)</f>
        <v>0</v>
      </c>
      <c r="D5" s="93" t="str">
        <f t="array" aca="1" ref="D5" ca="1">IF(LEFT(INDIRECT("Data!"&amp; A5 &amp; 1),2)="MV","meting","berekening")</f>
        <v>berekening</v>
      </c>
      <c r="E5" s="72" t="str">
        <f ca="1">IFERROR(MIN(INDIRECT("Data!"&amp; $A5 &amp; $A$2 &amp; ":"&amp; $A5 &amp; $A$3)),"")</f>
        <v/>
      </c>
      <c r="F5" s="72" t="str">
        <f ca="1">IFERROR(MAX(INDIRECT("Data!"&amp; $A5 &amp; $A$2 &amp; ":"&amp; $A5 &amp; $A$3)),"")</f>
        <v/>
      </c>
      <c r="G5" s="72" t="str">
        <f ca="1">IFERROR(AVERAGE(INDIRECT("Data!"&amp; $A5 &amp; $A$2 &amp; ":"&amp; $A5 &amp; $A$3)),"")</f>
        <v/>
      </c>
      <c r="H5" s="72" t="str">
        <f ca="1">IFERROR(STDEV(INDIRECT("Data!"&amp; $A5 &amp; $A$2 &amp; ":"&amp; $A5 &amp; $A$3)),"")</f>
        <v/>
      </c>
      <c r="I5" s="78" t="str">
        <f ca="1">IFERROR(AVERAGE(INDIRECT("Data!" &amp; $A5 &amp; I$1 &amp; ":" &amp; $A5 &amp; J$1-1)),"")</f>
        <v/>
      </c>
      <c r="J5" s="78" t="str">
        <f t="shared" ref="J5:O5" ca="1" si="0">IFERROR(AVERAGE(INDIRECT("Data!" &amp; $A5 &amp; J$1 &amp; ":" &amp; $A5 &amp; K$1-1)),"")</f>
        <v/>
      </c>
      <c r="K5" s="78" t="str">
        <f t="shared" ca="1" si="0"/>
        <v/>
      </c>
      <c r="L5" s="78" t="str">
        <f t="shared" ca="1" si="0"/>
        <v/>
      </c>
      <c r="M5" s="78" t="str">
        <f t="shared" ca="1" si="0"/>
        <v/>
      </c>
      <c r="N5" s="78" t="str">
        <f t="shared" ca="1" si="0"/>
        <v/>
      </c>
      <c r="O5" s="129" t="str">
        <f t="shared" ca="1" si="0"/>
        <v/>
      </c>
    </row>
    <row r="6" spans="1:17">
      <c r="A6" s="103" t="str">
        <f>Control!AE6</f>
        <v>E</v>
      </c>
      <c r="B6" s="154">
        <f t="array" aca="1" ref="B6" ca="1">INDIRECT("Data!" &amp; A6 &amp; 2)</f>
        <v>0</v>
      </c>
      <c r="C6" s="94">
        <f t="array" aca="1" ref="C6" ca="1">INDIRECT("Data!" &amp; $A6 &amp; 3)</f>
        <v>0</v>
      </c>
      <c r="D6" s="94" t="str">
        <f t="array" aca="1" ref="D6" ca="1">IF(LEFT(INDIRECT("Data!"&amp; A6 &amp; 1),2)="MV","meting","berekening")</f>
        <v>berekening</v>
      </c>
      <c r="E6" s="73" t="str">
        <f t="shared" ref="E6:E56" ca="1" si="1">IFERROR(MIN(INDIRECT("Data!"&amp; $A6 &amp; $A$2 &amp; ":"&amp; $A6 &amp; $A$3)),"")</f>
        <v/>
      </c>
      <c r="F6" s="73" t="str">
        <f t="shared" ref="F6:F56" ca="1" si="2">IFERROR(MAX(INDIRECT("Data!"&amp; $A6 &amp; $A$2 &amp; ":"&amp; $A6 &amp; $A$3)),"")</f>
        <v/>
      </c>
      <c r="G6" s="73" t="str">
        <f t="shared" ref="G6:G56" ca="1" si="3">IFERROR(AVERAGE(INDIRECT("Data!"&amp; $A6 &amp; $A$2 &amp; ":"&amp; $A6 &amp; $A$3)),"")</f>
        <v/>
      </c>
      <c r="H6" s="73" t="str">
        <f t="shared" ref="H6:H56" ca="1" si="4">IFERROR(STDEV(INDIRECT("Data!"&amp; $A6 &amp; $A$2 &amp; ":"&amp; $A6 &amp; $A$3)),"")</f>
        <v/>
      </c>
      <c r="I6" s="79" t="str">
        <f t="shared" ref="I6:I39" ca="1" si="5">IFERROR(AVERAGE(INDIRECT("Data!" &amp; $A6 &amp; I$1 &amp; ":" &amp; $A6 &amp; J$1-1)),"")</f>
        <v/>
      </c>
      <c r="J6" s="79" t="str">
        <f t="shared" ref="J6:J39" ca="1" si="6">IFERROR(AVERAGE(INDIRECT("Data!" &amp; $A6 &amp; J$1 &amp; ":" &amp; $A6 &amp; K$1-1)),"")</f>
        <v/>
      </c>
      <c r="K6" s="79" t="str">
        <f t="shared" ref="K6:K39" ca="1" si="7">IFERROR(AVERAGE(INDIRECT("Data!" &amp; $A6 &amp; K$1 &amp; ":" &amp; $A6 &amp; L$1-1)),"")</f>
        <v/>
      </c>
      <c r="L6" s="79" t="str">
        <f t="shared" ref="L6:L39" ca="1" si="8">IFERROR(AVERAGE(INDIRECT("Data!" &amp; $A6 &amp; L$1 &amp; ":" &amp; $A6 &amp; M$1-1)),"")</f>
        <v/>
      </c>
      <c r="M6" s="79" t="str">
        <f t="shared" ref="M6:M39" ca="1" si="9">IFERROR(AVERAGE(INDIRECT("Data!" &amp; $A6 &amp; M$1 &amp; ":" &amp; $A6 &amp; N$1-1)),"")</f>
        <v/>
      </c>
      <c r="N6" s="79" t="str">
        <f t="shared" ref="N6:N39" ca="1" si="10">IFERROR(AVERAGE(INDIRECT("Data!" &amp; $A6 &amp; N$1 &amp; ":" &amp; $A6 &amp; O$1-1)),"")</f>
        <v/>
      </c>
      <c r="O6" s="130" t="str">
        <f t="shared" ref="O6:O39" ca="1" si="11">IFERROR(AVERAGE(INDIRECT("Data!" &amp; $A6 &amp; O$1 &amp; ":" &amp; $A6 &amp; P$1-1)),"")</f>
        <v/>
      </c>
    </row>
    <row r="7" spans="1:17">
      <c r="A7" s="103" t="str">
        <f>Control!AE7</f>
        <v>F</v>
      </c>
      <c r="B7" s="154">
        <f t="array" aca="1" ref="B7" ca="1">INDIRECT("Data!" &amp; A7 &amp; 2)</f>
        <v>0</v>
      </c>
      <c r="C7" s="94">
        <f t="array" aca="1" ref="C7" ca="1">INDIRECT("Data!" &amp; $A7 &amp; 3)</f>
        <v>0</v>
      </c>
      <c r="D7" s="94" t="str">
        <f t="array" aca="1" ref="D7" ca="1">IF(LEFT(INDIRECT("Data!"&amp; A7 &amp; 1),2)="MV","meting","berekening")</f>
        <v>berekening</v>
      </c>
      <c r="E7" s="74" t="str">
        <f t="shared" ca="1" si="1"/>
        <v/>
      </c>
      <c r="F7" s="74" t="str">
        <f t="shared" ca="1" si="2"/>
        <v/>
      </c>
      <c r="G7" s="74" t="str">
        <f t="shared" ca="1" si="3"/>
        <v/>
      </c>
      <c r="H7" s="74" t="str">
        <f t="shared" ca="1" si="4"/>
        <v/>
      </c>
      <c r="I7" s="79" t="str">
        <f t="shared" ca="1" si="5"/>
        <v/>
      </c>
      <c r="J7" s="79" t="str">
        <f t="shared" ca="1" si="6"/>
        <v/>
      </c>
      <c r="K7" s="79" t="str">
        <f t="shared" ca="1" si="7"/>
        <v/>
      </c>
      <c r="L7" s="79" t="str">
        <f t="shared" ca="1" si="8"/>
        <v/>
      </c>
      <c r="M7" s="79" t="str">
        <f t="shared" ca="1" si="9"/>
        <v/>
      </c>
      <c r="N7" s="79" t="str">
        <f t="shared" ca="1" si="10"/>
        <v/>
      </c>
      <c r="O7" s="130" t="str">
        <f t="shared" ca="1" si="11"/>
        <v/>
      </c>
    </row>
    <row r="8" spans="1:17">
      <c r="A8" s="103" t="str">
        <f>Control!AE8</f>
        <v>G</v>
      </c>
      <c r="B8" s="154">
        <f t="array" aca="1" ref="B8" ca="1">INDIRECT("Data!" &amp; A8 &amp; 2)</f>
        <v>0</v>
      </c>
      <c r="C8" s="94">
        <f t="array" aca="1" ref="C8" ca="1">INDIRECT("Data!" &amp; $A8 &amp; 3)</f>
        <v>0</v>
      </c>
      <c r="D8" s="94" t="str">
        <f t="array" aca="1" ref="D8" ca="1">IF(LEFT(INDIRECT("Data!"&amp; A8 &amp; 1),2)="MV","meting","berekening")</f>
        <v>berekening</v>
      </c>
      <c r="E8" s="73" t="str">
        <f t="shared" ca="1" si="1"/>
        <v/>
      </c>
      <c r="F8" s="73" t="str">
        <f t="shared" ca="1" si="2"/>
        <v/>
      </c>
      <c r="G8" s="73" t="str">
        <f t="shared" ca="1" si="3"/>
        <v/>
      </c>
      <c r="H8" s="73" t="str">
        <f t="shared" ca="1" si="4"/>
        <v/>
      </c>
      <c r="I8" s="79" t="str">
        <f t="shared" ca="1" si="5"/>
        <v/>
      </c>
      <c r="J8" s="79" t="str">
        <f t="shared" ca="1" si="6"/>
        <v/>
      </c>
      <c r="K8" s="79" t="str">
        <f t="shared" ca="1" si="7"/>
        <v/>
      </c>
      <c r="L8" s="79" t="str">
        <f t="shared" ca="1" si="8"/>
        <v/>
      </c>
      <c r="M8" s="79" t="str">
        <f t="shared" ca="1" si="9"/>
        <v/>
      </c>
      <c r="N8" s="79" t="str">
        <f t="shared" ca="1" si="10"/>
        <v/>
      </c>
      <c r="O8" s="130" t="str">
        <f t="shared" ca="1" si="11"/>
        <v/>
      </c>
    </row>
    <row r="9" spans="1:17">
      <c r="A9" s="103" t="str">
        <f>Control!AE9</f>
        <v>H</v>
      </c>
      <c r="B9" s="154">
        <f t="array" aca="1" ref="B9" ca="1">INDIRECT("Data!" &amp; A9 &amp; 2)</f>
        <v>0</v>
      </c>
      <c r="C9" s="94">
        <f t="array" aca="1" ref="C9" ca="1">INDIRECT("Data!" &amp; $A9 &amp; 3)</f>
        <v>0</v>
      </c>
      <c r="D9" s="94" t="str">
        <f t="array" aca="1" ref="D9" ca="1">IF(LEFT(INDIRECT("Data!"&amp; A9 &amp; 1),2)="MV","meting","berekening")</f>
        <v>berekening</v>
      </c>
      <c r="E9" s="73" t="str">
        <f t="shared" ca="1" si="1"/>
        <v/>
      </c>
      <c r="F9" s="73" t="str">
        <f t="shared" ca="1" si="2"/>
        <v/>
      </c>
      <c r="G9" s="73" t="str">
        <f t="shared" ca="1" si="3"/>
        <v/>
      </c>
      <c r="H9" s="73" t="str">
        <f t="shared" ca="1" si="4"/>
        <v/>
      </c>
      <c r="I9" s="79" t="str">
        <f t="shared" ca="1" si="5"/>
        <v/>
      </c>
      <c r="J9" s="79" t="str">
        <f t="shared" ca="1" si="6"/>
        <v/>
      </c>
      <c r="K9" s="79" t="str">
        <f t="shared" ca="1" si="7"/>
        <v/>
      </c>
      <c r="L9" s="79" t="str">
        <f t="shared" ca="1" si="8"/>
        <v/>
      </c>
      <c r="M9" s="79" t="str">
        <f t="shared" ca="1" si="9"/>
        <v/>
      </c>
      <c r="N9" s="79" t="str">
        <f t="shared" ca="1" si="10"/>
        <v/>
      </c>
      <c r="O9" s="130" t="str">
        <f t="shared" ca="1" si="11"/>
        <v/>
      </c>
    </row>
    <row r="10" spans="1:17">
      <c r="A10" s="103" t="str">
        <f>Control!AE10</f>
        <v>I</v>
      </c>
      <c r="B10" s="154">
        <f t="array" aca="1" ref="B10" ca="1">INDIRECT("Data!" &amp; A10 &amp; 2)</f>
        <v>0</v>
      </c>
      <c r="C10" s="94">
        <f t="array" aca="1" ref="C10" ca="1">INDIRECT("Data!" &amp; $A10 &amp; 3)</f>
        <v>0</v>
      </c>
      <c r="D10" s="94" t="str">
        <f t="array" aca="1" ref="D10" ca="1">IF(LEFT(INDIRECT("Data!"&amp; A10 &amp; 1),2)="MV","meting","berekening")</f>
        <v>berekening</v>
      </c>
      <c r="E10" s="73" t="str">
        <f t="shared" ca="1" si="1"/>
        <v/>
      </c>
      <c r="F10" s="73" t="str">
        <f t="shared" ca="1" si="2"/>
        <v/>
      </c>
      <c r="G10" s="73" t="str">
        <f t="shared" ca="1" si="3"/>
        <v/>
      </c>
      <c r="H10" s="73" t="str">
        <f t="shared" ca="1" si="4"/>
        <v/>
      </c>
      <c r="I10" s="79" t="str">
        <f t="shared" ca="1" si="5"/>
        <v/>
      </c>
      <c r="J10" s="79" t="str">
        <f t="shared" ca="1" si="6"/>
        <v/>
      </c>
      <c r="K10" s="79" t="str">
        <f t="shared" ca="1" si="7"/>
        <v/>
      </c>
      <c r="L10" s="79" t="str">
        <f t="shared" ca="1" si="8"/>
        <v/>
      </c>
      <c r="M10" s="79" t="str">
        <f t="shared" ca="1" si="9"/>
        <v/>
      </c>
      <c r="N10" s="79" t="str">
        <f t="shared" ca="1" si="10"/>
        <v/>
      </c>
      <c r="O10" s="130" t="str">
        <f t="shared" ca="1" si="11"/>
        <v/>
      </c>
    </row>
    <row r="11" spans="1:17">
      <c r="A11" s="103" t="str">
        <f>Control!AE11</f>
        <v>J</v>
      </c>
      <c r="B11" s="154" t="str">
        <f t="array" aca="1" ref="B11" ca="1">INDIRECT("Data!" &amp; A11 &amp; 2)</f>
        <v>m_gas_str1</v>
      </c>
      <c r="C11" s="94">
        <f t="array" aca="1" ref="C11" ca="1">INDIRECT("Data!" &amp; $A11 &amp; 3)</f>
        <v>0</v>
      </c>
      <c r="D11" s="94" t="str">
        <f t="array" aca="1" ref="D11" ca="1">IF(LEFT(INDIRECT("Data!"&amp; A11 &amp; 1),2)="MV","meting","berekening")</f>
        <v>berekening</v>
      </c>
      <c r="E11" s="73" t="str">
        <f t="shared" ca="1" si="1"/>
        <v/>
      </c>
      <c r="F11" s="73" t="str">
        <f t="shared" ca="1" si="2"/>
        <v/>
      </c>
      <c r="G11" s="73" t="str">
        <f t="shared" ca="1" si="3"/>
        <v/>
      </c>
      <c r="H11" s="73" t="str">
        <f t="shared" ca="1" si="4"/>
        <v/>
      </c>
      <c r="I11" s="79" t="str">
        <f t="shared" ca="1" si="5"/>
        <v/>
      </c>
      <c r="J11" s="79" t="str">
        <f t="shared" ca="1" si="6"/>
        <v/>
      </c>
      <c r="K11" s="79" t="str">
        <f t="shared" ca="1" si="7"/>
        <v/>
      </c>
      <c r="L11" s="79" t="str">
        <f t="shared" ca="1" si="8"/>
        <v/>
      </c>
      <c r="M11" s="79" t="str">
        <f t="shared" ca="1" si="9"/>
        <v/>
      </c>
      <c r="N11" s="79" t="str">
        <f t="shared" ca="1" si="10"/>
        <v/>
      </c>
      <c r="O11" s="130" t="str">
        <f t="shared" ca="1" si="11"/>
        <v/>
      </c>
    </row>
    <row r="12" spans="1:17">
      <c r="A12" s="103" t="str">
        <f>Control!AE12</f>
        <v>K</v>
      </c>
      <c r="B12" s="154" t="str">
        <f t="array" aca="1" ref="B12" ca="1">INDIRECT("Data!" &amp; A12 &amp; 2)</f>
        <v>m_gas_str2</v>
      </c>
      <c r="C12" s="94">
        <f t="array" aca="1" ref="C12" ca="1">INDIRECT("Data!" &amp; $A12 &amp; 3)</f>
        <v>0</v>
      </c>
      <c r="D12" s="94" t="str">
        <f t="array" aca="1" ref="D12" ca="1">IF(LEFT(INDIRECT("Data!"&amp; A12 &amp; 1),2)="MV","meting","berekening")</f>
        <v>berekening</v>
      </c>
      <c r="E12" s="73" t="str">
        <f t="shared" ca="1" si="1"/>
        <v/>
      </c>
      <c r="F12" s="73" t="str">
        <f t="shared" ca="1" si="2"/>
        <v/>
      </c>
      <c r="G12" s="73" t="str">
        <f t="shared" ca="1" si="3"/>
        <v/>
      </c>
      <c r="H12" s="73" t="str">
        <f t="shared" ca="1" si="4"/>
        <v/>
      </c>
      <c r="I12" s="79" t="str">
        <f t="shared" ca="1" si="5"/>
        <v/>
      </c>
      <c r="J12" s="79" t="str">
        <f t="shared" ca="1" si="6"/>
        <v/>
      </c>
      <c r="K12" s="79" t="str">
        <f t="shared" ca="1" si="7"/>
        <v/>
      </c>
      <c r="L12" s="79" t="str">
        <f t="shared" ca="1" si="8"/>
        <v/>
      </c>
      <c r="M12" s="79" t="str">
        <f t="shared" ca="1" si="9"/>
        <v/>
      </c>
      <c r="N12" s="79" t="str">
        <f t="shared" ca="1" si="10"/>
        <v/>
      </c>
      <c r="O12" s="130" t="str">
        <f t="shared" ca="1" si="11"/>
        <v/>
      </c>
    </row>
    <row r="13" spans="1:17">
      <c r="A13" s="103" t="str">
        <f>Control!AE13</f>
        <v>L</v>
      </c>
      <c r="B13" s="154" t="str">
        <f t="array" aca="1" ref="B13" ca="1">INDIRECT("Data!" &amp; A13 &amp; 2)</f>
        <v>m_gas_tot</v>
      </c>
      <c r="C13" s="94">
        <f t="array" aca="1" ref="C13" ca="1">INDIRECT("Data!" &amp; $A13 &amp; 3)</f>
        <v>0</v>
      </c>
      <c r="D13" s="94" t="str">
        <f t="array" aca="1" ref="D13" ca="1">IF(LEFT(INDIRECT("Data!"&amp; A13 &amp; 1),2)="MV","meting","berekening")</f>
        <v>berekening</v>
      </c>
      <c r="E13" s="75" t="str">
        <f t="shared" ca="1" si="1"/>
        <v/>
      </c>
      <c r="F13" s="75" t="str">
        <f t="shared" ca="1" si="2"/>
        <v/>
      </c>
      <c r="G13" s="75" t="str">
        <f t="shared" ca="1" si="3"/>
        <v/>
      </c>
      <c r="H13" s="75" t="str">
        <f t="shared" ca="1" si="4"/>
        <v/>
      </c>
      <c r="I13" s="79" t="str">
        <f t="shared" ca="1" si="5"/>
        <v/>
      </c>
      <c r="J13" s="79" t="str">
        <f t="shared" ca="1" si="6"/>
        <v/>
      </c>
      <c r="K13" s="79" t="str">
        <f t="shared" ca="1" si="7"/>
        <v/>
      </c>
      <c r="L13" s="79" t="str">
        <f t="shared" ca="1" si="8"/>
        <v/>
      </c>
      <c r="M13" s="79" t="str">
        <f t="shared" ca="1" si="9"/>
        <v/>
      </c>
      <c r="N13" s="79" t="str">
        <f t="shared" ca="1" si="10"/>
        <v/>
      </c>
      <c r="O13" s="130" t="str">
        <f t="shared" ca="1" si="11"/>
        <v/>
      </c>
    </row>
    <row r="14" spans="1:17">
      <c r="A14" s="103" t="str">
        <f>Control!AE14</f>
        <v>M</v>
      </c>
      <c r="B14" s="154" t="str">
        <f t="array" aca="1" ref="B14" ca="1">INDIRECT("Data!" &amp; A14 &amp; 2)</f>
        <v>h_gas_in</v>
      </c>
      <c r="C14" s="94" t="str">
        <f t="array" aca="1" ref="C14" ca="1">INDIRECT("Data!" &amp; $A14 &amp; 3)</f>
        <v/>
      </c>
      <c r="D14" s="94" t="str">
        <f t="array" aca="1" ref="D14" ca="1">IF(LEFT(INDIRECT("Data!"&amp; A14 &amp; 1),2)="MV","meting","berekening")</f>
        <v>berekening</v>
      </c>
      <c r="E14" s="73" t="str">
        <f t="shared" ca="1" si="1"/>
        <v/>
      </c>
      <c r="F14" s="73" t="str">
        <f t="shared" ca="1" si="2"/>
        <v/>
      </c>
      <c r="G14" s="73" t="str">
        <f t="shared" ca="1" si="3"/>
        <v/>
      </c>
      <c r="H14" s="73" t="str">
        <f t="shared" ca="1" si="4"/>
        <v/>
      </c>
      <c r="I14" s="79" t="str">
        <f t="shared" ca="1" si="5"/>
        <v/>
      </c>
      <c r="J14" s="79" t="str">
        <f t="shared" ca="1" si="6"/>
        <v/>
      </c>
      <c r="K14" s="79" t="str">
        <f t="shared" ca="1" si="7"/>
        <v/>
      </c>
      <c r="L14" s="79" t="str">
        <f t="shared" ca="1" si="8"/>
        <v/>
      </c>
      <c r="M14" s="79" t="str">
        <f t="shared" ca="1" si="9"/>
        <v/>
      </c>
      <c r="N14" s="79" t="str">
        <f t="shared" ca="1" si="10"/>
        <v/>
      </c>
      <c r="O14" s="130" t="str">
        <f t="shared" ca="1" si="11"/>
        <v/>
      </c>
    </row>
    <row r="15" spans="1:17">
      <c r="A15" s="103" t="str">
        <f>Control!AE15</f>
        <v>N</v>
      </c>
      <c r="B15" s="154" t="str">
        <f t="array" aca="1" ref="B15" ca="1">INDIRECT("Data!" &amp; A15 &amp; 2)</f>
        <v>h_gas_str1</v>
      </c>
      <c r="C15" s="94" t="str">
        <f t="array" aca="1" ref="C15" ca="1">INDIRECT("Data!" &amp; $A15 &amp; 3)</f>
        <v/>
      </c>
      <c r="D15" s="94" t="str">
        <f t="array" aca="1" ref="D15" ca="1">IF(LEFT(INDIRECT("Data!"&amp; A15 &amp; 1),2)="MV","meting","berekening")</f>
        <v>berekening</v>
      </c>
      <c r="E15" s="73" t="str">
        <f t="shared" ca="1" si="1"/>
        <v/>
      </c>
      <c r="F15" s="73" t="str">
        <f t="shared" ca="1" si="2"/>
        <v/>
      </c>
      <c r="G15" s="73" t="str">
        <f t="shared" ca="1" si="3"/>
        <v/>
      </c>
      <c r="H15" s="73" t="str">
        <f t="shared" ca="1" si="4"/>
        <v/>
      </c>
      <c r="I15" s="79" t="str">
        <f t="shared" ca="1" si="5"/>
        <v/>
      </c>
      <c r="J15" s="79" t="str">
        <f t="shared" ca="1" si="6"/>
        <v/>
      </c>
      <c r="K15" s="79" t="str">
        <f t="shared" ca="1" si="7"/>
        <v/>
      </c>
      <c r="L15" s="79" t="str">
        <f t="shared" ca="1" si="8"/>
        <v/>
      </c>
      <c r="M15" s="79" t="str">
        <f t="shared" ca="1" si="9"/>
        <v/>
      </c>
      <c r="N15" s="79" t="str">
        <f t="shared" ca="1" si="10"/>
        <v/>
      </c>
      <c r="O15" s="130" t="str">
        <f t="shared" ca="1" si="11"/>
        <v/>
      </c>
    </row>
    <row r="16" spans="1:17">
      <c r="A16" s="103" t="str">
        <f>Control!AE16</f>
        <v>O</v>
      </c>
      <c r="B16" s="154" t="str">
        <f t="array" aca="1" ref="B16" ca="1">INDIRECT("Data!" &amp; A16 &amp; 2)</f>
        <v>h_gas_str2</v>
      </c>
      <c r="C16" s="94" t="str">
        <f t="array" aca="1" ref="C16" ca="1">INDIRECT("Data!" &amp; $A16 &amp; 3)</f>
        <v/>
      </c>
      <c r="D16" s="94" t="str">
        <f t="array" aca="1" ref="D16" ca="1">IF(LEFT(INDIRECT("Data!"&amp; A16 &amp; 1),2)="MV","meting","berekening")</f>
        <v>berekening</v>
      </c>
      <c r="E16" s="73" t="str">
        <f t="shared" ca="1" si="1"/>
        <v/>
      </c>
      <c r="F16" s="73" t="str">
        <f t="shared" ca="1" si="2"/>
        <v/>
      </c>
      <c r="G16" s="73" t="str">
        <f t="shared" ca="1" si="3"/>
        <v/>
      </c>
      <c r="H16" s="73" t="str">
        <f t="shared" ca="1" si="4"/>
        <v/>
      </c>
      <c r="I16" s="79" t="str">
        <f t="shared" ca="1" si="5"/>
        <v/>
      </c>
      <c r="J16" s="79" t="str">
        <f t="shared" ca="1" si="6"/>
        <v/>
      </c>
      <c r="K16" s="79" t="str">
        <f t="shared" ca="1" si="7"/>
        <v/>
      </c>
      <c r="L16" s="79" t="str">
        <f t="shared" ca="1" si="8"/>
        <v/>
      </c>
      <c r="M16" s="79" t="str">
        <f t="shared" ca="1" si="9"/>
        <v/>
      </c>
      <c r="N16" s="79" t="str">
        <f t="shared" ca="1" si="10"/>
        <v/>
      </c>
      <c r="O16" s="130" t="str">
        <f t="shared" ca="1" si="11"/>
        <v/>
      </c>
    </row>
    <row r="17" spans="1:15">
      <c r="A17" s="103" t="str">
        <f>Control!AE17</f>
        <v>P</v>
      </c>
      <c r="B17" s="154" t="str">
        <f t="array" aca="1" ref="B17" ca="1">INDIRECT("Data!" &amp; A17 &amp; 2)</f>
        <v>dh_gas_str1</v>
      </c>
      <c r="C17" s="94">
        <f t="array" aca="1" ref="C17" ca="1">INDIRECT("Data!" &amp; $A17 &amp; 3)</f>
        <v>0</v>
      </c>
      <c r="D17" s="94" t="str">
        <f t="array" aca="1" ref="D17" ca="1">IF(LEFT(INDIRECT("Data!"&amp; A17 &amp; 1),2)="MV","meting","berekening")</f>
        <v>berekening</v>
      </c>
      <c r="E17" s="74" t="str">
        <f t="shared" ca="1" si="1"/>
        <v/>
      </c>
      <c r="F17" s="74" t="str">
        <f t="shared" ca="1" si="2"/>
        <v/>
      </c>
      <c r="G17" s="74" t="str">
        <f t="shared" ca="1" si="3"/>
        <v/>
      </c>
      <c r="H17" s="74" t="str">
        <f t="shared" ca="1" si="4"/>
        <v/>
      </c>
      <c r="I17" s="79" t="str">
        <f t="shared" ca="1" si="5"/>
        <v/>
      </c>
      <c r="J17" s="79" t="str">
        <f t="shared" ca="1" si="6"/>
        <v/>
      </c>
      <c r="K17" s="79" t="str">
        <f t="shared" ca="1" si="7"/>
        <v/>
      </c>
      <c r="L17" s="79" t="str">
        <f t="shared" ca="1" si="8"/>
        <v/>
      </c>
      <c r="M17" s="79" t="str">
        <f t="shared" ca="1" si="9"/>
        <v/>
      </c>
      <c r="N17" s="79" t="str">
        <f t="shared" ca="1" si="10"/>
        <v/>
      </c>
      <c r="O17" s="130" t="str">
        <f t="shared" ca="1" si="11"/>
        <v/>
      </c>
    </row>
    <row r="18" spans="1:15">
      <c r="A18" s="103" t="str">
        <f>Control!AE18</f>
        <v>Q</v>
      </c>
      <c r="B18" s="154" t="str">
        <f t="array" aca="1" ref="B18" ca="1">INDIRECT("Data!" &amp; A18 &amp; 2)</f>
        <v>dh_gas_str2</v>
      </c>
      <c r="C18" s="94">
        <f t="array" aca="1" ref="C18" ca="1">INDIRECT("Data!" &amp; $A18 &amp; 3)</f>
        <v>0</v>
      </c>
      <c r="D18" s="94" t="str">
        <f t="array" aca="1" ref="D18" ca="1">IF(LEFT(INDIRECT("Data!"&amp; A18 &amp; 1),2)="MV","meting","berekening")</f>
        <v>berekening</v>
      </c>
      <c r="E18" s="74" t="str">
        <f t="shared" ca="1" si="1"/>
        <v/>
      </c>
      <c r="F18" s="74" t="str">
        <f t="shared" ca="1" si="2"/>
        <v/>
      </c>
      <c r="G18" s="74" t="str">
        <f t="shared" ca="1" si="3"/>
        <v/>
      </c>
      <c r="H18" s="74" t="str">
        <f t="shared" ca="1" si="4"/>
        <v/>
      </c>
      <c r="I18" s="79" t="str">
        <f t="shared" ca="1" si="5"/>
        <v/>
      </c>
      <c r="J18" s="79" t="str">
        <f t="shared" ca="1" si="6"/>
        <v/>
      </c>
      <c r="K18" s="79" t="str">
        <f t="shared" ca="1" si="7"/>
        <v/>
      </c>
      <c r="L18" s="79" t="str">
        <f t="shared" ca="1" si="8"/>
        <v/>
      </c>
      <c r="M18" s="79" t="str">
        <f t="shared" ca="1" si="9"/>
        <v/>
      </c>
      <c r="N18" s="79" t="str">
        <f t="shared" ca="1" si="10"/>
        <v/>
      </c>
      <c r="O18" s="130" t="str">
        <f t="shared" ca="1" si="11"/>
        <v/>
      </c>
    </row>
    <row r="19" spans="1:15">
      <c r="A19" s="103" t="str">
        <f>Control!AE19</f>
        <v>R</v>
      </c>
      <c r="B19" s="154" t="str">
        <f t="array" aca="1" ref="B19" ca="1">INDIRECT("Data!" &amp; A19 &amp; 2)</f>
        <v>Q_str1</v>
      </c>
      <c r="C19" s="94">
        <f t="array" aca="1" ref="C19" ca="1">INDIRECT("Data!" &amp; $A19 &amp; 3)</f>
        <v>0</v>
      </c>
      <c r="D19" s="94" t="str">
        <f t="array" aca="1" ref="D19" ca="1">IF(LEFT(INDIRECT("Data!"&amp; A19 &amp; 1),2)="MV","meting","berekening")</f>
        <v>berekening</v>
      </c>
      <c r="E19" s="74" t="str">
        <f t="shared" ca="1" si="1"/>
        <v/>
      </c>
      <c r="F19" s="74" t="str">
        <f t="shared" ca="1" si="2"/>
        <v/>
      </c>
      <c r="G19" s="74" t="str">
        <f t="shared" ca="1" si="3"/>
        <v/>
      </c>
      <c r="H19" s="74" t="str">
        <f t="shared" ca="1" si="4"/>
        <v/>
      </c>
      <c r="I19" s="79" t="str">
        <f t="shared" ca="1" si="5"/>
        <v/>
      </c>
      <c r="J19" s="79" t="str">
        <f t="shared" ca="1" si="6"/>
        <v/>
      </c>
      <c r="K19" s="79" t="str">
        <f t="shared" ca="1" si="7"/>
        <v/>
      </c>
      <c r="L19" s="79" t="str">
        <f t="shared" ca="1" si="8"/>
        <v/>
      </c>
      <c r="M19" s="79" t="str">
        <f t="shared" ca="1" si="9"/>
        <v/>
      </c>
      <c r="N19" s="79" t="str">
        <f t="shared" ca="1" si="10"/>
        <v/>
      </c>
      <c r="O19" s="130" t="str">
        <f t="shared" ca="1" si="11"/>
        <v/>
      </c>
    </row>
    <row r="20" spans="1:15">
      <c r="A20" s="103" t="str">
        <f>Control!AE20</f>
        <v>S</v>
      </c>
      <c r="B20" s="154" t="str">
        <f t="array" aca="1" ref="B20" ca="1">INDIRECT("Data!" &amp; A20 &amp; 2)</f>
        <v>Q_str2</v>
      </c>
      <c r="C20" s="94">
        <f t="array" aca="1" ref="C20" ca="1">INDIRECT("Data!" &amp; $A20 &amp; 3)</f>
        <v>0</v>
      </c>
      <c r="D20" s="94" t="str">
        <f t="array" aca="1" ref="D20" ca="1">IF(LEFT(INDIRECT("Data!"&amp; A20 &amp; 1),2)="MV","meting","berekening")</f>
        <v>berekening</v>
      </c>
      <c r="E20" s="75" t="str">
        <f t="shared" ca="1" si="1"/>
        <v/>
      </c>
      <c r="F20" s="75" t="str">
        <f t="shared" ca="1" si="2"/>
        <v/>
      </c>
      <c r="G20" s="75" t="str">
        <f t="shared" ca="1" si="3"/>
        <v/>
      </c>
      <c r="H20" s="75" t="str">
        <f t="shared" ca="1" si="4"/>
        <v/>
      </c>
      <c r="I20" s="79" t="str">
        <f t="shared" ca="1" si="5"/>
        <v/>
      </c>
      <c r="J20" s="79" t="str">
        <f t="shared" ca="1" si="6"/>
        <v/>
      </c>
      <c r="K20" s="79" t="str">
        <f t="shared" ca="1" si="7"/>
        <v/>
      </c>
      <c r="L20" s="79" t="str">
        <f t="shared" ca="1" si="8"/>
        <v/>
      </c>
      <c r="M20" s="79" t="str">
        <f t="shared" ca="1" si="9"/>
        <v/>
      </c>
      <c r="N20" s="79" t="str">
        <f t="shared" ca="1" si="10"/>
        <v/>
      </c>
      <c r="O20" s="130" t="str">
        <f t="shared" ca="1" si="11"/>
        <v/>
      </c>
    </row>
    <row r="21" spans="1:15">
      <c r="A21" s="103" t="str">
        <f>Control!AE21</f>
        <v>T</v>
      </c>
      <c r="B21" s="154" t="str">
        <f t="array" aca="1" ref="B21" ca="1">INDIRECT("Data!" &amp; A21 &amp; 2)</f>
        <v>Q_brgas</v>
      </c>
      <c r="C21" s="94" t="str">
        <f t="array" aca="1" ref="C21" ca="1">INDIRECT("Data!" &amp; $A21 &amp; 3)</f>
        <v/>
      </c>
      <c r="D21" s="94" t="str">
        <f t="array" aca="1" ref="D21" ca="1">IF(LEFT(INDIRECT("Data!"&amp; A21 &amp; 1),2)="MV","meting","berekening")</f>
        <v>berekening</v>
      </c>
      <c r="E21" s="75" t="str">
        <f t="shared" ca="1" si="1"/>
        <v/>
      </c>
      <c r="F21" s="75" t="str">
        <f t="shared" ca="1" si="2"/>
        <v/>
      </c>
      <c r="G21" s="75" t="str">
        <f t="shared" ca="1" si="3"/>
        <v/>
      </c>
      <c r="H21" s="75" t="str">
        <f t="shared" ca="1" si="4"/>
        <v/>
      </c>
      <c r="I21" s="79" t="str">
        <f t="shared" ca="1" si="5"/>
        <v/>
      </c>
      <c r="J21" s="79" t="str">
        <f t="shared" ca="1" si="6"/>
        <v/>
      </c>
      <c r="K21" s="79" t="str">
        <f t="shared" ca="1" si="7"/>
        <v/>
      </c>
      <c r="L21" s="79" t="str">
        <f t="shared" ca="1" si="8"/>
        <v/>
      </c>
      <c r="M21" s="79" t="str">
        <f t="shared" ca="1" si="9"/>
        <v/>
      </c>
      <c r="N21" s="79" t="str">
        <f t="shared" ca="1" si="10"/>
        <v/>
      </c>
      <c r="O21" s="130" t="str">
        <f t="shared" ca="1" si="11"/>
        <v/>
      </c>
    </row>
    <row r="22" spans="1:15">
      <c r="A22" s="103" t="str">
        <f>Control!AE22</f>
        <v>U</v>
      </c>
      <c r="B22" s="154" t="str">
        <f t="array" aca="1" ref="B22" ca="1">INDIRECT("Data!" &amp; A22 &amp; 2)</f>
        <v>dT_ketelw</v>
      </c>
      <c r="C22" s="94">
        <f t="array" aca="1" ref="C22" ca="1">INDIRECT("Data!" &amp; $A22 &amp; 3)</f>
        <v>0</v>
      </c>
      <c r="D22" s="94" t="str">
        <f t="array" aca="1" ref="D22" ca="1">IF(LEFT(INDIRECT("Data!"&amp; A22 &amp; 1),2)="MV","meting","berekening")</f>
        <v>berekening</v>
      </c>
      <c r="E22" s="75" t="str">
        <f t="shared" ca="1" si="1"/>
        <v/>
      </c>
      <c r="F22" s="75" t="str">
        <f t="shared" ca="1" si="2"/>
        <v/>
      </c>
      <c r="G22" s="75" t="str">
        <f t="shared" ca="1" si="3"/>
        <v/>
      </c>
      <c r="H22" s="75" t="str">
        <f t="shared" ca="1" si="4"/>
        <v/>
      </c>
      <c r="I22" s="79" t="str">
        <f t="shared" ca="1" si="5"/>
        <v/>
      </c>
      <c r="J22" s="79" t="str">
        <f t="shared" ca="1" si="6"/>
        <v/>
      </c>
      <c r="K22" s="79" t="str">
        <f t="shared" ca="1" si="7"/>
        <v/>
      </c>
      <c r="L22" s="79" t="str">
        <f t="shared" ca="1" si="8"/>
        <v/>
      </c>
      <c r="M22" s="79" t="str">
        <f t="shared" ca="1" si="9"/>
        <v/>
      </c>
      <c r="N22" s="79" t="str">
        <f t="shared" ca="1" si="10"/>
        <v/>
      </c>
      <c r="O22" s="130" t="str">
        <f t="shared" ca="1" si="11"/>
        <v/>
      </c>
    </row>
    <row r="23" spans="1:15">
      <c r="A23" s="103" t="str">
        <f>Control!AE23</f>
        <v>V</v>
      </c>
      <c r="B23" s="154" t="str">
        <f t="array" aca="1" ref="B23" ca="1">INDIRECT("Data!" &amp; A23 &amp; 2)</f>
        <v>Q_ket</v>
      </c>
      <c r="C23" s="94" t="str">
        <f t="array" aca="1" ref="C23" ca="1">INDIRECT("Data!" &amp; $A23 &amp; 3)</f>
        <v/>
      </c>
      <c r="D23" s="94" t="str">
        <f t="array" aca="1" ref="D23" ca="1">IF(LEFT(INDIRECT("Data!"&amp; A23 &amp; 1),2)="MV","meting","berekening")</f>
        <v>berekening</v>
      </c>
      <c r="E23" s="73" t="str">
        <f t="shared" ca="1" si="1"/>
        <v/>
      </c>
      <c r="F23" s="73" t="str">
        <f t="shared" ca="1" si="2"/>
        <v/>
      </c>
      <c r="G23" s="73" t="str">
        <f t="shared" ca="1" si="3"/>
        <v/>
      </c>
      <c r="H23" s="73" t="str">
        <f t="shared" ca="1" si="4"/>
        <v/>
      </c>
      <c r="I23" s="79" t="str">
        <f t="shared" ca="1" si="5"/>
        <v/>
      </c>
      <c r="J23" s="79" t="str">
        <f t="shared" ca="1" si="6"/>
        <v/>
      </c>
      <c r="K23" s="79" t="str">
        <f t="shared" ca="1" si="7"/>
        <v/>
      </c>
      <c r="L23" s="79" t="str">
        <f t="shared" ca="1" si="8"/>
        <v/>
      </c>
      <c r="M23" s="79" t="str">
        <f t="shared" ca="1" si="9"/>
        <v/>
      </c>
      <c r="N23" s="79" t="str">
        <f t="shared" ca="1" si="10"/>
        <v/>
      </c>
      <c r="O23" s="130" t="str">
        <f t="shared" ca="1" si="11"/>
        <v/>
      </c>
    </row>
    <row r="24" spans="1:15">
      <c r="A24" s="103" t="str">
        <f>Control!AE24</f>
        <v>W</v>
      </c>
      <c r="B24" s="154" t="str">
        <f t="array" aca="1" ref="B24" ca="1">INDIRECT("Data!" &amp; A24 &amp; 2)</f>
        <v>dT_WP</v>
      </c>
      <c r="C24" s="94" t="str">
        <f t="array" aca="1" ref="C24" ca="1">INDIRECT("Data!" &amp; $A24 &amp; 3)</f>
        <v/>
      </c>
      <c r="D24" s="94" t="str">
        <f t="array" aca="1" ref="D24" ca="1">IF(LEFT(INDIRECT("Data!"&amp; A24 &amp; 1),2)="MV","meting","berekening")</f>
        <v>berekening</v>
      </c>
      <c r="E24" s="73" t="str">
        <f t="shared" ca="1" si="1"/>
        <v/>
      </c>
      <c r="F24" s="73" t="str">
        <f t="shared" ca="1" si="2"/>
        <v/>
      </c>
      <c r="G24" s="73" t="str">
        <f t="shared" ca="1" si="3"/>
        <v/>
      </c>
      <c r="H24" s="73" t="str">
        <f t="shared" ca="1" si="4"/>
        <v/>
      </c>
      <c r="I24" s="79" t="str">
        <f t="shared" ca="1" si="5"/>
        <v/>
      </c>
      <c r="J24" s="79" t="str">
        <f t="shared" ca="1" si="6"/>
        <v/>
      </c>
      <c r="K24" s="79" t="str">
        <f t="shared" ca="1" si="7"/>
        <v/>
      </c>
      <c r="L24" s="79" t="str">
        <f t="shared" ca="1" si="8"/>
        <v/>
      </c>
      <c r="M24" s="79" t="str">
        <f t="shared" ca="1" si="9"/>
        <v/>
      </c>
      <c r="N24" s="79" t="str">
        <f t="shared" ca="1" si="10"/>
        <v/>
      </c>
      <c r="O24" s="130" t="str">
        <f t="shared" ca="1" si="11"/>
        <v/>
      </c>
    </row>
    <row r="25" spans="1:15">
      <c r="A25" s="103" t="str">
        <f>Control!AE25</f>
        <v>X</v>
      </c>
      <c r="B25" s="154" t="str">
        <f t="array" aca="1" ref="B25" ca="1">INDIRECT("Data!" &amp; A25 &amp; 2)</f>
        <v>Q_WP</v>
      </c>
      <c r="C25" s="94">
        <f t="array" aca="1" ref="C25" ca="1">INDIRECT("Data!" &amp; $A25 &amp; 3)</f>
        <v>0</v>
      </c>
      <c r="D25" s="94" t="str">
        <f t="array" aca="1" ref="D25" ca="1">IF(LEFT(INDIRECT("Data!"&amp; A25 &amp; 1),2)="MV","meting","berekening")</f>
        <v>berekening</v>
      </c>
      <c r="E25" s="73" t="str">
        <f t="shared" ca="1" si="1"/>
        <v/>
      </c>
      <c r="F25" s="73" t="str">
        <f t="shared" ca="1" si="2"/>
        <v/>
      </c>
      <c r="G25" s="73" t="str">
        <f t="shared" ca="1" si="3"/>
        <v/>
      </c>
      <c r="H25" s="73" t="str">
        <f t="shared" ca="1" si="4"/>
        <v/>
      </c>
      <c r="I25" s="79" t="str">
        <f t="shared" ca="1" si="5"/>
        <v/>
      </c>
      <c r="J25" s="79" t="str">
        <f t="shared" ca="1" si="6"/>
        <v/>
      </c>
      <c r="K25" s="79" t="str">
        <f t="shared" ca="1" si="7"/>
        <v/>
      </c>
      <c r="L25" s="79" t="str">
        <f t="shared" ca="1" si="8"/>
        <v/>
      </c>
      <c r="M25" s="79" t="str">
        <f t="shared" ca="1" si="9"/>
        <v/>
      </c>
      <c r="N25" s="79" t="str">
        <f t="shared" ca="1" si="10"/>
        <v/>
      </c>
      <c r="O25" s="130" t="str">
        <f t="shared" ca="1" si="11"/>
        <v/>
      </c>
    </row>
    <row r="26" spans="1:15">
      <c r="A26" s="103" t="str">
        <f>Control!AE26</f>
        <v>Y</v>
      </c>
      <c r="B26" s="154" t="str">
        <f t="array" aca="1" ref="B26" ca="1">INDIRECT("Data!" &amp; A26 &amp; 2)</f>
        <v>dT_OV</v>
      </c>
      <c r="C26" s="94">
        <f t="array" aca="1" ref="C26" ca="1">INDIRECT("Data!" &amp; $A26 &amp; 3)</f>
        <v>0</v>
      </c>
      <c r="D26" s="94" t="str">
        <f t="array" aca="1" ref="D26" ca="1">IF(LEFT(INDIRECT("Data!"&amp; A26 &amp; 1),2)="MV","meting","berekening")</f>
        <v>berekening</v>
      </c>
      <c r="E26" s="73" t="str">
        <f t="shared" ca="1" si="1"/>
        <v/>
      </c>
      <c r="F26" s="73" t="str">
        <f t="shared" ca="1" si="2"/>
        <v/>
      </c>
      <c r="G26" s="73" t="str">
        <f t="shared" ca="1" si="3"/>
        <v/>
      </c>
      <c r="H26" s="73" t="str">
        <f t="shared" ca="1" si="4"/>
        <v/>
      </c>
      <c r="I26" s="79" t="str">
        <f t="shared" ca="1" si="5"/>
        <v/>
      </c>
      <c r="J26" s="79" t="str">
        <f t="shared" ca="1" si="6"/>
        <v/>
      </c>
      <c r="K26" s="79" t="str">
        <f t="shared" ca="1" si="7"/>
        <v/>
      </c>
      <c r="L26" s="79" t="str">
        <f t="shared" ca="1" si="8"/>
        <v/>
      </c>
      <c r="M26" s="79" t="str">
        <f t="shared" ca="1" si="9"/>
        <v/>
      </c>
      <c r="N26" s="79" t="str">
        <f t="shared" ca="1" si="10"/>
        <v/>
      </c>
      <c r="O26" s="130" t="str">
        <f t="shared" ca="1" si="11"/>
        <v/>
      </c>
    </row>
    <row r="27" spans="1:15">
      <c r="A27" s="103" t="str">
        <f>Control!AE27</f>
        <v>Z</v>
      </c>
      <c r="B27" s="154" t="str">
        <f t="array" aca="1" ref="B27" ca="1">INDIRECT("Data!" &amp; A27 &amp; 2)</f>
        <v>Q_OV</v>
      </c>
      <c r="C27" s="94">
        <f t="array" aca="1" ref="C27" ca="1">INDIRECT("Data!" &amp; $A27 &amp; 3)</f>
        <v>0</v>
      </c>
      <c r="D27" s="94" t="str">
        <f t="array" aca="1" ref="D27" ca="1">IF(LEFT(INDIRECT("Data!"&amp; A27 &amp; 1),2)="MV","meting","berekening")</f>
        <v>berekening</v>
      </c>
      <c r="E27" s="73" t="str">
        <f t="shared" ca="1" si="1"/>
        <v/>
      </c>
      <c r="F27" s="73" t="str">
        <f t="shared" ca="1" si="2"/>
        <v/>
      </c>
      <c r="G27" s="73" t="str">
        <f t="shared" ca="1" si="3"/>
        <v/>
      </c>
      <c r="H27" s="73" t="str">
        <f t="shared" ca="1" si="4"/>
        <v/>
      </c>
      <c r="I27" s="79" t="str">
        <f t="shared" ca="1" si="5"/>
        <v/>
      </c>
      <c r="J27" s="79" t="str">
        <f t="shared" ca="1" si="6"/>
        <v/>
      </c>
      <c r="K27" s="79" t="str">
        <f t="shared" ca="1" si="7"/>
        <v/>
      </c>
      <c r="L27" s="79" t="str">
        <f t="shared" ca="1" si="8"/>
        <v/>
      </c>
      <c r="M27" s="79" t="str">
        <f t="shared" ca="1" si="9"/>
        <v/>
      </c>
      <c r="N27" s="79" t="str">
        <f t="shared" ca="1" si="10"/>
        <v/>
      </c>
      <c r="O27" s="130" t="str">
        <f t="shared" ca="1" si="11"/>
        <v/>
      </c>
    </row>
    <row r="28" spans="1:15">
      <c r="A28" s="103" t="str">
        <f>Control!AE28</f>
        <v>AA</v>
      </c>
      <c r="B28" s="154" t="str">
        <f t="array" aca="1" ref="B28" ca="1">INDIRECT("Data!" &amp; A28 &amp; 2)</f>
        <v>ketelrend</v>
      </c>
      <c r="C28" s="94" t="str">
        <f t="array" aca="1" ref="C28" ca="1">INDIRECT("Data!" &amp; $A28 &amp; 3)</f>
        <v/>
      </c>
      <c r="D28" s="94" t="str">
        <f t="array" aca="1" ref="D28" ca="1">IF(LEFT(INDIRECT("Data!"&amp; A28 &amp; 1),2)="MV","meting","berekening")</f>
        <v>berekening</v>
      </c>
      <c r="E28" s="73" t="str">
        <f t="shared" ca="1" si="1"/>
        <v/>
      </c>
      <c r="F28" s="73" t="str">
        <f t="shared" ca="1" si="2"/>
        <v/>
      </c>
      <c r="G28" s="73" t="str">
        <f t="shared" ca="1" si="3"/>
        <v/>
      </c>
      <c r="H28" s="73" t="str">
        <f t="shared" ca="1" si="4"/>
        <v/>
      </c>
      <c r="I28" s="79" t="str">
        <f t="shared" ca="1" si="5"/>
        <v/>
      </c>
      <c r="J28" s="79" t="str">
        <f t="shared" ca="1" si="6"/>
        <v/>
      </c>
      <c r="K28" s="79" t="str">
        <f t="shared" ca="1" si="7"/>
        <v/>
      </c>
      <c r="L28" s="79" t="str">
        <f t="shared" ca="1" si="8"/>
        <v/>
      </c>
      <c r="M28" s="79" t="str">
        <f t="shared" ca="1" si="9"/>
        <v/>
      </c>
      <c r="N28" s="79" t="str">
        <f t="shared" ca="1" si="10"/>
        <v/>
      </c>
      <c r="O28" s="130" t="str">
        <f t="shared" ca="1" si="11"/>
        <v/>
      </c>
    </row>
    <row r="29" spans="1:15">
      <c r="A29" s="103" t="str">
        <f>Control!AE29</f>
        <v>AB</v>
      </c>
      <c r="B29" s="154" t="str">
        <f t="array" aca="1" ref="B29" ca="1">INDIRECT("Data!" &amp; A29 &amp; 2)</f>
        <v>COP_WP</v>
      </c>
      <c r="C29" s="94" t="str">
        <f t="array" aca="1" ref="C29" ca="1">INDIRECT("Data!" &amp; $A29 &amp; 3)</f>
        <v/>
      </c>
      <c r="D29" s="94" t="str">
        <f t="array" aca="1" ref="D29" ca="1">IF(LEFT(INDIRECT("Data!"&amp; A29 &amp; 1),2)="MV","meting","berekening")</f>
        <v>berekening</v>
      </c>
      <c r="E29" s="73" t="str">
        <f t="shared" ca="1" si="1"/>
        <v/>
      </c>
      <c r="F29" s="73" t="str">
        <f t="shared" ca="1" si="2"/>
        <v/>
      </c>
      <c r="G29" s="73" t="str">
        <f t="shared" ca="1" si="3"/>
        <v/>
      </c>
      <c r="H29" s="73" t="str">
        <f t="shared" ca="1" si="4"/>
        <v/>
      </c>
      <c r="I29" s="79" t="str">
        <f t="shared" ca="1" si="5"/>
        <v/>
      </c>
      <c r="J29" s="79" t="str">
        <f t="shared" ca="1" si="6"/>
        <v/>
      </c>
      <c r="K29" s="79" t="str">
        <f t="shared" ca="1" si="7"/>
        <v/>
      </c>
      <c r="L29" s="79" t="str">
        <f t="shared" ca="1" si="8"/>
        <v/>
      </c>
      <c r="M29" s="79" t="str">
        <f t="shared" ca="1" si="9"/>
        <v/>
      </c>
      <c r="N29" s="79" t="str">
        <f t="shared" ca="1" si="10"/>
        <v/>
      </c>
      <c r="O29" s="130" t="str">
        <f t="shared" ca="1" si="11"/>
        <v/>
      </c>
    </row>
    <row r="30" spans="1:15">
      <c r="A30" s="103" t="str">
        <f>Control!AE30</f>
        <v>AC</v>
      </c>
      <c r="B30" s="154" t="str">
        <f t="array" aca="1" ref="B30" ca="1">INDIRECT("Data!" &amp; A30 &amp; 2)</f>
        <v>WZ_rend</v>
      </c>
      <c r="C30" s="94" t="str">
        <f t="array" aca="1" ref="C30" ca="1">INDIRECT("Data!" &amp; $A30 &amp; 3)</f>
        <v/>
      </c>
      <c r="D30" s="94" t="str">
        <f t="array" aca="1" ref="D30" ca="1">IF(LEFT(INDIRECT("Data!"&amp; A30 &amp; 1),2)="MV","meting","berekening")</f>
        <v>berekening</v>
      </c>
      <c r="E30" s="73" t="str">
        <f t="shared" ca="1" si="1"/>
        <v/>
      </c>
      <c r="F30" s="73" t="str">
        <f t="shared" ca="1" si="2"/>
        <v/>
      </c>
      <c r="G30" s="73" t="str">
        <f t="shared" ca="1" si="3"/>
        <v/>
      </c>
      <c r="H30" s="73" t="str">
        <f t="shared" ca="1" si="4"/>
        <v/>
      </c>
      <c r="I30" s="79" t="str">
        <f t="shared" ca="1" si="5"/>
        <v/>
      </c>
      <c r="J30" s="79" t="str">
        <f t="shared" ca="1" si="6"/>
        <v/>
      </c>
      <c r="K30" s="79" t="str">
        <f t="shared" ca="1" si="7"/>
        <v/>
      </c>
      <c r="L30" s="79" t="str">
        <f t="shared" ca="1" si="8"/>
        <v/>
      </c>
      <c r="M30" s="79" t="str">
        <f t="shared" ca="1" si="9"/>
        <v/>
      </c>
      <c r="N30" s="79" t="str">
        <f t="shared" ca="1" si="10"/>
        <v/>
      </c>
      <c r="O30" s="130" t="str">
        <f t="shared" ca="1" si="11"/>
        <v/>
      </c>
    </row>
    <row r="31" spans="1:15">
      <c r="A31" s="103" t="str">
        <f>Control!AE31</f>
        <v>AD</v>
      </c>
      <c r="B31" s="154" t="str">
        <f t="array" aca="1" ref="B31" ca="1">INDIRECT("Data!" &amp; A31 &amp; 2)</f>
        <v>totrend</v>
      </c>
      <c r="C31" s="94" t="str">
        <f t="array" aca="1" ref="C31" ca="1">INDIRECT("Data!" &amp; $A31 &amp; 3)</f>
        <v/>
      </c>
      <c r="D31" s="94" t="str">
        <f t="array" aca="1" ref="D31" ca="1">IF(LEFT(INDIRECT("Data!"&amp; A31 &amp; 1),2)="MV","meting","berekening")</f>
        <v>berekening</v>
      </c>
      <c r="E31" s="73" t="str">
        <f t="shared" ca="1" si="1"/>
        <v/>
      </c>
      <c r="F31" s="73" t="str">
        <f t="shared" ca="1" si="2"/>
        <v/>
      </c>
      <c r="G31" s="73" t="str">
        <f t="shared" ca="1" si="3"/>
        <v/>
      </c>
      <c r="H31" s="73" t="str">
        <f t="shared" ca="1" si="4"/>
        <v/>
      </c>
      <c r="I31" s="79" t="str">
        <f t="shared" ca="1" si="5"/>
        <v/>
      </c>
      <c r="J31" s="79" t="str">
        <f t="shared" ca="1" si="6"/>
        <v/>
      </c>
      <c r="K31" s="79" t="str">
        <f t="shared" ca="1" si="7"/>
        <v/>
      </c>
      <c r="L31" s="79" t="str">
        <f t="shared" ca="1" si="8"/>
        <v/>
      </c>
      <c r="M31" s="79" t="str">
        <f t="shared" ca="1" si="9"/>
        <v/>
      </c>
      <c r="N31" s="79" t="str">
        <f t="shared" ca="1" si="10"/>
        <v/>
      </c>
      <c r="O31" s="130" t="str">
        <f t="shared" ca="1" si="11"/>
        <v/>
      </c>
    </row>
    <row r="32" spans="1:15">
      <c r="A32" s="103" t="str">
        <f>Control!AE32</f>
        <v>AE</v>
      </c>
      <c r="B32" s="154">
        <f t="array" aca="1" ref="B32" ca="1">INDIRECT("Data!" &amp; A32 &amp; 2)</f>
        <v>0</v>
      </c>
      <c r="C32" s="94">
        <f t="array" aca="1" ref="C32" ca="1">INDIRECT("Data!" &amp; $A32 &amp; 3)</f>
        <v>0</v>
      </c>
      <c r="D32" s="94" t="str">
        <f t="array" aca="1" ref="D32" ca="1">IF(LEFT(INDIRECT("Data!"&amp; A32 &amp; 1),2)="MV","meting","berekening")</f>
        <v>berekening</v>
      </c>
      <c r="E32" s="73" t="str">
        <f t="shared" ca="1" si="1"/>
        <v/>
      </c>
      <c r="F32" s="73" t="str">
        <f t="shared" ca="1" si="2"/>
        <v/>
      </c>
      <c r="G32" s="73" t="str">
        <f t="shared" ca="1" si="3"/>
        <v/>
      </c>
      <c r="H32" s="73" t="str">
        <f t="shared" ca="1" si="4"/>
        <v/>
      </c>
      <c r="I32" s="79" t="str">
        <f t="shared" ca="1" si="5"/>
        <v/>
      </c>
      <c r="J32" s="79" t="str">
        <f t="shared" ca="1" si="6"/>
        <v/>
      </c>
      <c r="K32" s="79" t="str">
        <f t="shared" ca="1" si="7"/>
        <v/>
      </c>
      <c r="L32" s="79" t="str">
        <f t="shared" ca="1" si="8"/>
        <v/>
      </c>
      <c r="M32" s="79" t="str">
        <f t="shared" ca="1" si="9"/>
        <v/>
      </c>
      <c r="N32" s="79" t="str">
        <f t="shared" ca="1" si="10"/>
        <v/>
      </c>
      <c r="O32" s="130" t="str">
        <f t="shared" ca="1" si="11"/>
        <v/>
      </c>
    </row>
    <row r="33" spans="1:15">
      <c r="A33" s="103" t="str">
        <f>Control!AE33</f>
        <v>AF</v>
      </c>
      <c r="B33" s="154">
        <f t="array" aca="1" ref="B33" ca="1">INDIRECT("Data!" &amp; A33 &amp; 2)</f>
        <v>0</v>
      </c>
      <c r="C33" s="94">
        <f t="array" aca="1" ref="C33" ca="1">INDIRECT("Data!" &amp; $A33 &amp; 3)</f>
        <v>0</v>
      </c>
      <c r="D33" s="94" t="str">
        <f t="array" aca="1" ref="D33" ca="1">IF(LEFT(INDIRECT("Data!"&amp; A33 &amp; 1),2)="MV","meting","berekening")</f>
        <v>berekening</v>
      </c>
      <c r="E33" s="75" t="str">
        <f t="shared" ca="1" si="1"/>
        <v/>
      </c>
      <c r="F33" s="75" t="str">
        <f t="shared" ca="1" si="2"/>
        <v/>
      </c>
      <c r="G33" s="75" t="str">
        <f t="shared" ca="1" si="3"/>
        <v/>
      </c>
      <c r="H33" s="75" t="str">
        <f t="shared" ca="1" si="4"/>
        <v/>
      </c>
      <c r="I33" s="79" t="str">
        <f t="shared" ca="1" si="5"/>
        <v/>
      </c>
      <c r="J33" s="79" t="str">
        <f t="shared" ca="1" si="6"/>
        <v/>
      </c>
      <c r="K33" s="79" t="str">
        <f t="shared" ca="1" si="7"/>
        <v/>
      </c>
      <c r="L33" s="79" t="str">
        <f t="shared" ca="1" si="8"/>
        <v/>
      </c>
      <c r="M33" s="79" t="str">
        <f t="shared" ca="1" si="9"/>
        <v/>
      </c>
      <c r="N33" s="79" t="str">
        <f t="shared" ca="1" si="10"/>
        <v/>
      </c>
      <c r="O33" s="130" t="str">
        <f t="shared" ca="1" si="11"/>
        <v/>
      </c>
    </row>
    <row r="34" spans="1:15">
      <c r="A34" s="103" t="str">
        <f>Control!AE34</f>
        <v>AG</v>
      </c>
      <c r="B34" s="154">
        <f t="array" aca="1" ref="B34" ca="1">INDIRECT("Data!" &amp; A34 &amp; 2)</f>
        <v>0</v>
      </c>
      <c r="C34" s="94">
        <f t="array" aca="1" ref="C34" ca="1">INDIRECT("Data!" &amp; $A34 &amp; 3)</f>
        <v>0</v>
      </c>
      <c r="D34" s="94" t="str">
        <f t="array" aca="1" ref="D34" ca="1">IF(LEFT(INDIRECT("Data!"&amp; A34 &amp; 1),2)="MV","meting","berekening")</f>
        <v>berekening</v>
      </c>
      <c r="E34" s="75" t="str">
        <f t="shared" ca="1" si="1"/>
        <v/>
      </c>
      <c r="F34" s="75" t="str">
        <f t="shared" ca="1" si="2"/>
        <v/>
      </c>
      <c r="G34" s="75" t="str">
        <f t="shared" ca="1" si="3"/>
        <v/>
      </c>
      <c r="H34" s="75" t="str">
        <f t="shared" ca="1" si="4"/>
        <v/>
      </c>
      <c r="I34" s="79" t="str">
        <f t="shared" ca="1" si="5"/>
        <v/>
      </c>
      <c r="J34" s="79" t="str">
        <f t="shared" ca="1" si="6"/>
        <v/>
      </c>
      <c r="K34" s="79" t="str">
        <f t="shared" ca="1" si="7"/>
        <v/>
      </c>
      <c r="L34" s="79" t="str">
        <f t="shared" ca="1" si="8"/>
        <v/>
      </c>
      <c r="M34" s="79" t="str">
        <f t="shared" ca="1" si="9"/>
        <v/>
      </c>
      <c r="N34" s="79" t="str">
        <f t="shared" ca="1" si="10"/>
        <v/>
      </c>
      <c r="O34" s="130" t="str">
        <f t="shared" ca="1" si="11"/>
        <v/>
      </c>
    </row>
    <row r="35" spans="1:15">
      <c r="A35" s="103" t="str">
        <f>Control!AE35</f>
        <v>AH</v>
      </c>
      <c r="B35" s="154">
        <f t="array" aca="1" ref="B35" ca="1">INDIRECT("Data!" &amp; A35 &amp; 2)</f>
        <v>0</v>
      </c>
      <c r="C35" s="94">
        <f t="array" aca="1" ref="C35" ca="1">INDIRECT("Data!" &amp; $A35 &amp; 3)</f>
        <v>0</v>
      </c>
      <c r="D35" s="94" t="str">
        <f t="array" aca="1" ref="D35" ca="1">IF(LEFT(INDIRECT("Data!"&amp; A35 &amp; 1),2)="MV","meting","berekening")</f>
        <v>berekening</v>
      </c>
      <c r="E35" s="75" t="str">
        <f t="shared" ca="1" si="1"/>
        <v/>
      </c>
      <c r="F35" s="75" t="str">
        <f t="shared" ca="1" si="2"/>
        <v/>
      </c>
      <c r="G35" s="75" t="str">
        <f t="shared" ca="1" si="3"/>
        <v/>
      </c>
      <c r="H35" s="75" t="str">
        <f t="shared" ca="1" si="4"/>
        <v/>
      </c>
      <c r="I35" s="79" t="str">
        <f t="shared" ca="1" si="5"/>
        <v/>
      </c>
      <c r="J35" s="79" t="str">
        <f t="shared" ca="1" si="6"/>
        <v/>
      </c>
      <c r="K35" s="79" t="str">
        <f t="shared" ca="1" si="7"/>
        <v/>
      </c>
      <c r="L35" s="79" t="str">
        <f t="shared" ca="1" si="8"/>
        <v/>
      </c>
      <c r="M35" s="79" t="str">
        <f t="shared" ca="1" si="9"/>
        <v/>
      </c>
      <c r="N35" s="79" t="str">
        <f t="shared" ca="1" si="10"/>
        <v/>
      </c>
      <c r="O35" s="130" t="str">
        <f t="shared" ca="1" si="11"/>
        <v/>
      </c>
    </row>
    <row r="36" spans="1:15">
      <c r="A36" s="103" t="str">
        <f>Control!AE36</f>
        <v>AI</v>
      </c>
      <c r="B36" s="154">
        <f t="array" aca="1" ref="B36" ca="1">INDIRECT("Data!" &amp; A36 &amp; 2)</f>
        <v>0</v>
      </c>
      <c r="C36" s="94">
        <f t="array" aca="1" ref="C36" ca="1">INDIRECT("Data!" &amp; $A36 &amp; 3)</f>
        <v>0</v>
      </c>
      <c r="D36" s="94" t="str">
        <f t="array" aca="1" ref="D36" ca="1">IF(LEFT(INDIRECT("Data!"&amp; A36 &amp; 1),2)="MV","meting","berekening")</f>
        <v>berekening</v>
      </c>
      <c r="E36" s="76" t="str">
        <f t="shared" ca="1" si="1"/>
        <v/>
      </c>
      <c r="F36" s="76" t="str">
        <f t="shared" ca="1" si="2"/>
        <v/>
      </c>
      <c r="G36" s="76" t="str">
        <f t="shared" ca="1" si="3"/>
        <v/>
      </c>
      <c r="H36" s="76" t="str">
        <f t="shared" ca="1" si="4"/>
        <v/>
      </c>
      <c r="I36" s="79" t="str">
        <f t="shared" ca="1" si="5"/>
        <v/>
      </c>
      <c r="J36" s="79" t="str">
        <f t="shared" ca="1" si="6"/>
        <v/>
      </c>
      <c r="K36" s="79" t="str">
        <f t="shared" ca="1" si="7"/>
        <v/>
      </c>
      <c r="L36" s="79" t="str">
        <f t="shared" ca="1" si="8"/>
        <v/>
      </c>
      <c r="M36" s="79" t="str">
        <f t="shared" ca="1" si="9"/>
        <v/>
      </c>
      <c r="N36" s="79" t="str">
        <f t="shared" ca="1" si="10"/>
        <v/>
      </c>
      <c r="O36" s="130" t="str">
        <f t="shared" ca="1" si="11"/>
        <v/>
      </c>
    </row>
    <row r="37" spans="1:15">
      <c r="A37" s="103" t="str">
        <f>Control!AE37</f>
        <v>AJ</v>
      </c>
      <c r="B37" s="154">
        <f t="array" aca="1" ref="B37" ca="1">INDIRECT("Data!" &amp; A37 &amp; 2)</f>
        <v>0</v>
      </c>
      <c r="C37" s="94">
        <f t="array" aca="1" ref="C37" ca="1">INDIRECT("Data!" &amp; $A37 &amp; 3)</f>
        <v>0</v>
      </c>
      <c r="D37" s="94" t="str">
        <f t="array" aca="1" ref="D37" ca="1">IF(LEFT(INDIRECT("Data!"&amp; A37 &amp; 1),2)="MV","meting","berekening")</f>
        <v>berekening</v>
      </c>
      <c r="E37" s="76" t="str">
        <f t="shared" ca="1" si="1"/>
        <v/>
      </c>
      <c r="F37" s="76" t="str">
        <f t="shared" ca="1" si="2"/>
        <v/>
      </c>
      <c r="G37" s="76" t="str">
        <f t="shared" ca="1" si="3"/>
        <v/>
      </c>
      <c r="H37" s="76" t="str">
        <f t="shared" ca="1" si="4"/>
        <v/>
      </c>
      <c r="I37" s="79" t="str">
        <f t="shared" ca="1" si="5"/>
        <v/>
      </c>
      <c r="J37" s="79" t="str">
        <f t="shared" ca="1" si="6"/>
        <v/>
      </c>
      <c r="K37" s="79" t="str">
        <f t="shared" ca="1" si="7"/>
        <v/>
      </c>
      <c r="L37" s="79" t="str">
        <f t="shared" ca="1" si="8"/>
        <v/>
      </c>
      <c r="M37" s="79" t="str">
        <f t="shared" ca="1" si="9"/>
        <v/>
      </c>
      <c r="N37" s="79" t="str">
        <f t="shared" ca="1" si="10"/>
        <v/>
      </c>
      <c r="O37" s="130" t="str">
        <f t="shared" ca="1" si="11"/>
        <v/>
      </c>
    </row>
    <row r="38" spans="1:15">
      <c r="A38" s="103" t="str">
        <f>Control!AE38</f>
        <v>AK</v>
      </c>
      <c r="B38" s="154">
        <f t="array" aca="1" ref="B38" ca="1">INDIRECT("Data!" &amp; A38 &amp; 2)</f>
        <v>0</v>
      </c>
      <c r="C38" s="94">
        <f t="array" aca="1" ref="C38" ca="1">INDIRECT("Data!" &amp; $A38 &amp; 3)</f>
        <v>0</v>
      </c>
      <c r="D38" s="94" t="str">
        <f t="array" aca="1" ref="D38" ca="1">IF(LEFT(INDIRECT("Data!"&amp; A38 &amp; 1),2)="MV","meting","berekening")</f>
        <v>berekening</v>
      </c>
      <c r="E38" s="76" t="str">
        <f t="shared" ca="1" si="1"/>
        <v/>
      </c>
      <c r="F38" s="76" t="str">
        <f t="shared" ca="1" si="2"/>
        <v/>
      </c>
      <c r="G38" s="76" t="str">
        <f t="shared" ca="1" si="3"/>
        <v/>
      </c>
      <c r="H38" s="76" t="str">
        <f t="shared" ca="1" si="4"/>
        <v/>
      </c>
      <c r="I38" s="79" t="str">
        <f t="shared" ca="1" si="5"/>
        <v/>
      </c>
      <c r="J38" s="79" t="str">
        <f t="shared" ca="1" si="6"/>
        <v/>
      </c>
      <c r="K38" s="79" t="str">
        <f t="shared" ca="1" si="7"/>
        <v/>
      </c>
      <c r="L38" s="79" t="str">
        <f t="shared" ca="1" si="8"/>
        <v/>
      </c>
      <c r="M38" s="79" t="str">
        <f t="shared" ca="1" si="9"/>
        <v/>
      </c>
      <c r="N38" s="79" t="str">
        <f t="shared" ca="1" si="10"/>
        <v/>
      </c>
      <c r="O38" s="130" t="str">
        <f t="shared" ca="1" si="11"/>
        <v/>
      </c>
    </row>
    <row r="39" spans="1:15">
      <c r="A39" s="103" t="str">
        <f>Control!AE39</f>
        <v>AL</v>
      </c>
      <c r="B39" s="154">
        <f t="array" aca="1" ref="B39" ca="1">INDIRECT("Data!" &amp; A39 &amp; 2)</f>
        <v>0</v>
      </c>
      <c r="C39" s="94">
        <f t="array" aca="1" ref="C39" ca="1">INDIRECT("Data!" &amp; $A39 &amp; 3)</f>
        <v>0</v>
      </c>
      <c r="D39" s="94" t="str">
        <f t="array" aca="1" ref="D39" ca="1">IF(LEFT(INDIRECT("Data!"&amp; A39 &amp; 1),2)="MV","meting","berekening")</f>
        <v>berekening</v>
      </c>
      <c r="E39" s="76" t="str">
        <f t="shared" ca="1" si="1"/>
        <v/>
      </c>
      <c r="F39" s="76" t="str">
        <f t="shared" ca="1" si="2"/>
        <v/>
      </c>
      <c r="G39" s="76" t="str">
        <f t="shared" ca="1" si="3"/>
        <v/>
      </c>
      <c r="H39" s="76" t="str">
        <f t="shared" ca="1" si="4"/>
        <v/>
      </c>
      <c r="I39" s="79" t="str">
        <f t="shared" ca="1" si="5"/>
        <v/>
      </c>
      <c r="J39" s="79" t="str">
        <f t="shared" ca="1" si="6"/>
        <v/>
      </c>
      <c r="K39" s="79" t="str">
        <f t="shared" ca="1" si="7"/>
        <v/>
      </c>
      <c r="L39" s="79" t="str">
        <f t="shared" ca="1" si="8"/>
        <v/>
      </c>
      <c r="M39" s="79" t="str">
        <f t="shared" ca="1" si="9"/>
        <v/>
      </c>
      <c r="N39" s="79" t="str">
        <f t="shared" ca="1" si="10"/>
        <v/>
      </c>
      <c r="O39" s="130" t="str">
        <f t="shared" ca="1" si="11"/>
        <v/>
      </c>
    </row>
    <row r="40" spans="1:15">
      <c r="A40" s="103" t="str">
        <f>Control!AE40</f>
        <v>AM</v>
      </c>
      <c r="B40" s="154">
        <f t="array" aca="1" ref="B40" ca="1">INDIRECT("Data!" &amp; A40 &amp; 2)</f>
        <v>0</v>
      </c>
      <c r="C40" s="94">
        <f t="array" aca="1" ref="C40" ca="1">INDIRECT("Data!" &amp; $A40 &amp; 3)</f>
        <v>0</v>
      </c>
      <c r="D40" s="94" t="str">
        <f t="array" aca="1" ref="D40" ca="1">IF(LEFT(INDIRECT("Data!"&amp; A40 &amp; 1),2)="MV","meting","berekening")</f>
        <v>berekening</v>
      </c>
      <c r="E40" s="75" t="str">
        <f t="shared" ca="1" si="1"/>
        <v/>
      </c>
      <c r="F40" s="75" t="str">
        <f t="shared" ca="1" si="2"/>
        <v/>
      </c>
      <c r="G40" s="75" t="str">
        <f t="shared" ca="1" si="3"/>
        <v/>
      </c>
      <c r="H40" s="75" t="str">
        <f t="shared" ca="1" si="4"/>
        <v/>
      </c>
      <c r="I40" s="79" t="str">
        <f t="shared" ref="I40:I55" ca="1" si="12">IFERROR(AVERAGE(INDIRECT("Data!" &amp; $A40 &amp; I$1 &amp; ":" &amp; $A40 &amp; J$1-1)),"")</f>
        <v/>
      </c>
      <c r="J40" s="79" t="str">
        <f t="shared" ref="J40:J55" ca="1" si="13">IFERROR(AVERAGE(INDIRECT("Data!" &amp; $A40 &amp; J$1 &amp; ":" &amp; $A40 &amp; K$1-1)),"")</f>
        <v/>
      </c>
      <c r="K40" s="79" t="str">
        <f t="shared" ref="K40:K55" ca="1" si="14">IFERROR(AVERAGE(INDIRECT("Data!" &amp; $A40 &amp; K$1 &amp; ":" &amp; $A40 &amp; L$1-1)),"")</f>
        <v/>
      </c>
      <c r="L40" s="79" t="str">
        <f t="shared" ref="L40:L55" ca="1" si="15">IFERROR(AVERAGE(INDIRECT("Data!" &amp; $A40 &amp; L$1 &amp; ":" &amp; $A40 &amp; M$1-1)),"")</f>
        <v/>
      </c>
      <c r="M40" s="79" t="str">
        <f t="shared" ref="M40:M55" ca="1" si="16">IFERROR(AVERAGE(INDIRECT("Data!" &amp; $A40 &amp; M$1 &amp; ":" &amp; $A40 &amp; N$1-1)),"")</f>
        <v/>
      </c>
      <c r="N40" s="79" t="str">
        <f t="shared" ref="N40:N55" ca="1" si="17">IFERROR(AVERAGE(INDIRECT("Data!" &amp; $A40 &amp; N$1 &amp; ":" &amp; $A40 &amp; O$1-1)),"")</f>
        <v/>
      </c>
      <c r="O40" s="130" t="str">
        <f t="shared" ref="O40:O55" ca="1" si="18">IFERROR(AVERAGE(INDIRECT("Data!" &amp; $A40 &amp; O$1 &amp; ":" &amp; $A40 &amp; P$1-1)),"")</f>
        <v/>
      </c>
    </row>
    <row r="41" spans="1:15">
      <c r="A41" s="103" t="str">
        <f>Control!AE41</f>
        <v>AN</v>
      </c>
      <c r="B41" s="154">
        <f t="array" aca="1" ref="B41" ca="1">INDIRECT("Data!" &amp; A41 &amp; 2)</f>
        <v>0</v>
      </c>
      <c r="C41" s="94">
        <f t="array" aca="1" ref="C41" ca="1">INDIRECT("Data!" &amp; $A41 &amp; 3)</f>
        <v>0</v>
      </c>
      <c r="D41" s="94" t="str">
        <f t="array" aca="1" ref="D41" ca="1">IF(LEFT(INDIRECT("Data!"&amp; A41 &amp; 1),2)="MV","meting","berekening")</f>
        <v>berekening</v>
      </c>
      <c r="E41" s="75" t="str">
        <f t="shared" ca="1" si="1"/>
        <v/>
      </c>
      <c r="F41" s="75" t="str">
        <f t="shared" ca="1" si="2"/>
        <v/>
      </c>
      <c r="G41" s="75" t="str">
        <f t="shared" ca="1" si="3"/>
        <v/>
      </c>
      <c r="H41" s="75" t="str">
        <f t="shared" ca="1" si="4"/>
        <v/>
      </c>
      <c r="I41" s="79" t="str">
        <f t="shared" ca="1" si="12"/>
        <v/>
      </c>
      <c r="J41" s="79" t="str">
        <f t="shared" ca="1" si="13"/>
        <v/>
      </c>
      <c r="K41" s="79" t="str">
        <f t="shared" ca="1" si="14"/>
        <v/>
      </c>
      <c r="L41" s="79" t="str">
        <f t="shared" ca="1" si="15"/>
        <v/>
      </c>
      <c r="M41" s="79" t="str">
        <f t="shared" ca="1" si="16"/>
        <v/>
      </c>
      <c r="N41" s="79" t="str">
        <f t="shared" ca="1" si="17"/>
        <v/>
      </c>
      <c r="O41" s="130" t="str">
        <f t="shared" ca="1" si="18"/>
        <v/>
      </c>
    </row>
    <row r="42" spans="1:15">
      <c r="A42" s="103" t="str">
        <f>Control!AE42</f>
        <v>AO</v>
      </c>
      <c r="B42" s="154">
        <f t="array" aca="1" ref="B42" ca="1">INDIRECT("Data!" &amp; A42 &amp; 2)</f>
        <v>0</v>
      </c>
      <c r="C42" s="94">
        <f t="array" aca="1" ref="C42" ca="1">INDIRECT("Data!" &amp; $A42 &amp; 3)</f>
        <v>0</v>
      </c>
      <c r="D42" s="94" t="str">
        <f t="array" aca="1" ref="D42" ca="1">IF(LEFT(INDIRECT("Data!"&amp; A42 &amp; 1),2)="MV","meting","berekening")</f>
        <v>berekening</v>
      </c>
      <c r="E42" s="76" t="str">
        <f t="shared" ca="1" si="1"/>
        <v/>
      </c>
      <c r="F42" s="76" t="str">
        <f t="shared" ca="1" si="2"/>
        <v/>
      </c>
      <c r="G42" s="76" t="str">
        <f t="shared" ca="1" si="3"/>
        <v/>
      </c>
      <c r="H42" s="76" t="str">
        <f t="shared" ca="1" si="4"/>
        <v/>
      </c>
      <c r="I42" s="79" t="str">
        <f t="shared" ca="1" si="12"/>
        <v/>
      </c>
      <c r="J42" s="79" t="str">
        <f t="shared" ca="1" si="13"/>
        <v/>
      </c>
      <c r="K42" s="79" t="str">
        <f t="shared" ca="1" si="14"/>
        <v/>
      </c>
      <c r="L42" s="79" t="str">
        <f t="shared" ca="1" si="15"/>
        <v/>
      </c>
      <c r="M42" s="79" t="str">
        <f t="shared" ca="1" si="16"/>
        <v/>
      </c>
      <c r="N42" s="79" t="str">
        <f t="shared" ca="1" si="17"/>
        <v/>
      </c>
      <c r="O42" s="130" t="str">
        <f t="shared" ca="1" si="18"/>
        <v/>
      </c>
    </row>
    <row r="43" spans="1:15">
      <c r="A43" s="103" t="str">
        <f>Control!AE43</f>
        <v>AP</v>
      </c>
      <c r="B43" s="154">
        <f t="array" aca="1" ref="B43" ca="1">INDIRECT("Data!" &amp; A43 &amp; 2)</f>
        <v>0</v>
      </c>
      <c r="C43" s="94">
        <f t="array" aca="1" ref="C43" ca="1">INDIRECT("Data!" &amp; $A43 &amp; 3)</f>
        <v>0</v>
      </c>
      <c r="D43" s="94" t="str">
        <f t="array" aca="1" ref="D43" ca="1">IF(LEFT(INDIRECT("Data!"&amp; A43 &amp; 1),2)="MV","meting","berekening")</f>
        <v>berekening</v>
      </c>
      <c r="E43" s="76" t="str">
        <f t="shared" ca="1" si="1"/>
        <v/>
      </c>
      <c r="F43" s="76" t="str">
        <f t="shared" ca="1" si="2"/>
        <v/>
      </c>
      <c r="G43" s="76" t="str">
        <f t="shared" ca="1" si="3"/>
        <v/>
      </c>
      <c r="H43" s="76" t="str">
        <f t="shared" ca="1" si="4"/>
        <v/>
      </c>
      <c r="I43" s="79" t="str">
        <f t="shared" ca="1" si="12"/>
        <v/>
      </c>
      <c r="J43" s="79" t="str">
        <f t="shared" ca="1" si="13"/>
        <v/>
      </c>
      <c r="K43" s="79" t="str">
        <f t="shared" ca="1" si="14"/>
        <v/>
      </c>
      <c r="L43" s="79" t="str">
        <f t="shared" ca="1" si="15"/>
        <v/>
      </c>
      <c r="M43" s="79" t="str">
        <f t="shared" ca="1" si="16"/>
        <v/>
      </c>
      <c r="N43" s="79" t="str">
        <f t="shared" ca="1" si="17"/>
        <v/>
      </c>
      <c r="O43" s="130" t="str">
        <f t="shared" ca="1" si="18"/>
        <v/>
      </c>
    </row>
    <row r="44" spans="1:15">
      <c r="A44" s="103" t="str">
        <f>Control!AE44</f>
        <v>AQ</v>
      </c>
      <c r="B44" s="154">
        <f t="array" aca="1" ref="B44" ca="1">INDIRECT("Data!" &amp; A44 &amp; 2)</f>
        <v>0</v>
      </c>
      <c r="C44" s="94">
        <f t="array" aca="1" ref="C44" ca="1">INDIRECT("Data!" &amp; $A44 &amp; 3)</f>
        <v>0</v>
      </c>
      <c r="D44" s="94" t="str">
        <f t="array" aca="1" ref="D44" ca="1">IF(LEFT(INDIRECT("Data!"&amp; A44 &amp; 1),2)="MV","meting","berekening")</f>
        <v>berekening</v>
      </c>
      <c r="E44" s="76" t="str">
        <f t="shared" ca="1" si="1"/>
        <v/>
      </c>
      <c r="F44" s="76" t="str">
        <f t="shared" ca="1" si="2"/>
        <v/>
      </c>
      <c r="G44" s="76" t="str">
        <f t="shared" ca="1" si="3"/>
        <v/>
      </c>
      <c r="H44" s="76" t="str">
        <f t="shared" ca="1" si="4"/>
        <v/>
      </c>
      <c r="I44" s="79" t="str">
        <f t="shared" ca="1" si="12"/>
        <v/>
      </c>
      <c r="J44" s="79" t="str">
        <f t="shared" ca="1" si="13"/>
        <v/>
      </c>
      <c r="K44" s="79" t="str">
        <f t="shared" ca="1" si="14"/>
        <v/>
      </c>
      <c r="L44" s="79" t="str">
        <f t="shared" ca="1" si="15"/>
        <v/>
      </c>
      <c r="M44" s="79" t="str">
        <f t="shared" ca="1" si="16"/>
        <v/>
      </c>
      <c r="N44" s="79" t="str">
        <f t="shared" ca="1" si="17"/>
        <v/>
      </c>
      <c r="O44" s="130" t="str">
        <f t="shared" ca="1" si="18"/>
        <v/>
      </c>
    </row>
    <row r="45" spans="1:15">
      <c r="A45" s="103" t="str">
        <f>Control!AE45</f>
        <v>AR</v>
      </c>
      <c r="B45" s="154">
        <f t="array" aca="1" ref="B45" ca="1">INDIRECT("Data!" &amp; A45 &amp; 2)</f>
        <v>0</v>
      </c>
      <c r="C45" s="94">
        <f t="array" aca="1" ref="C45" ca="1">INDIRECT("Data!" &amp; $A45 &amp; 3)</f>
        <v>0</v>
      </c>
      <c r="D45" s="94" t="str">
        <f t="array" aca="1" ref="D45" ca="1">IF(LEFT(INDIRECT("Data!"&amp; A45 &amp; 1),2)="MV","meting","berekening")</f>
        <v>berekening</v>
      </c>
      <c r="E45" s="76" t="str">
        <f t="shared" ca="1" si="1"/>
        <v/>
      </c>
      <c r="F45" s="76" t="str">
        <f t="shared" ca="1" si="2"/>
        <v/>
      </c>
      <c r="G45" s="76" t="str">
        <f t="shared" ca="1" si="3"/>
        <v/>
      </c>
      <c r="H45" s="76" t="str">
        <f t="shared" ca="1" si="4"/>
        <v/>
      </c>
      <c r="I45" s="79" t="str">
        <f t="shared" ca="1" si="12"/>
        <v/>
      </c>
      <c r="J45" s="79" t="str">
        <f t="shared" ca="1" si="13"/>
        <v/>
      </c>
      <c r="K45" s="79" t="str">
        <f t="shared" ca="1" si="14"/>
        <v/>
      </c>
      <c r="L45" s="79" t="str">
        <f t="shared" ca="1" si="15"/>
        <v/>
      </c>
      <c r="M45" s="79" t="str">
        <f t="shared" ca="1" si="16"/>
        <v/>
      </c>
      <c r="N45" s="79" t="str">
        <f t="shared" ca="1" si="17"/>
        <v/>
      </c>
      <c r="O45" s="130" t="str">
        <f t="shared" ca="1" si="18"/>
        <v/>
      </c>
    </row>
    <row r="46" spans="1:15">
      <c r="A46" s="103" t="str">
        <f>Control!AE46</f>
        <v>AS</v>
      </c>
      <c r="B46" s="154">
        <f t="array" aca="1" ref="B46" ca="1">INDIRECT("Data!" &amp; A46 &amp; 2)</f>
        <v>0</v>
      </c>
      <c r="C46" s="94">
        <f t="array" aca="1" ref="C46" ca="1">INDIRECT("Data!" &amp; $A46 &amp; 3)</f>
        <v>0</v>
      </c>
      <c r="D46" s="94" t="str">
        <f t="array" aca="1" ref="D46" ca="1">IF(LEFT(INDIRECT("Data!"&amp; A46 &amp; 1),2)="MV","meting","berekening")</f>
        <v>berekening</v>
      </c>
      <c r="E46" s="76" t="str">
        <f t="shared" ca="1" si="1"/>
        <v/>
      </c>
      <c r="F46" s="76" t="str">
        <f t="shared" ca="1" si="2"/>
        <v/>
      </c>
      <c r="G46" s="76" t="str">
        <f t="shared" ca="1" si="3"/>
        <v/>
      </c>
      <c r="H46" s="76" t="str">
        <f t="shared" ca="1" si="4"/>
        <v/>
      </c>
      <c r="I46" s="79" t="str">
        <f t="shared" ca="1" si="12"/>
        <v/>
      </c>
      <c r="J46" s="79" t="str">
        <f t="shared" ca="1" si="13"/>
        <v/>
      </c>
      <c r="K46" s="79" t="str">
        <f t="shared" ca="1" si="14"/>
        <v/>
      </c>
      <c r="L46" s="79" t="str">
        <f t="shared" ca="1" si="15"/>
        <v/>
      </c>
      <c r="M46" s="79" t="str">
        <f t="shared" ca="1" si="16"/>
        <v/>
      </c>
      <c r="N46" s="79" t="str">
        <f t="shared" ca="1" si="17"/>
        <v/>
      </c>
      <c r="O46" s="130" t="str">
        <f t="shared" ca="1" si="18"/>
        <v/>
      </c>
    </row>
    <row r="47" spans="1:15">
      <c r="A47" s="103" t="str">
        <f>Control!AE47</f>
        <v>AT</v>
      </c>
      <c r="B47" s="154">
        <f t="array" aca="1" ref="B47" ca="1">INDIRECT("Data!" &amp; A47 &amp; 2)</f>
        <v>0</v>
      </c>
      <c r="C47" s="94">
        <f t="array" aca="1" ref="C47" ca="1">INDIRECT("Data!" &amp; $A47 &amp; 3)</f>
        <v>0</v>
      </c>
      <c r="D47" s="94" t="str">
        <f t="array" aca="1" ref="D47" ca="1">IF(LEFT(INDIRECT("Data!"&amp; A47 &amp; 1),2)="MV","meting","berekening")</f>
        <v>berekening</v>
      </c>
      <c r="E47" s="76" t="str">
        <f t="shared" ca="1" si="1"/>
        <v/>
      </c>
      <c r="F47" s="76" t="str">
        <f t="shared" ca="1" si="2"/>
        <v/>
      </c>
      <c r="G47" s="76" t="str">
        <f t="shared" ca="1" si="3"/>
        <v/>
      </c>
      <c r="H47" s="76" t="str">
        <f t="shared" ca="1" si="4"/>
        <v/>
      </c>
      <c r="I47" s="79" t="str">
        <f t="shared" ca="1" si="12"/>
        <v/>
      </c>
      <c r="J47" s="79" t="str">
        <f t="shared" ca="1" si="13"/>
        <v/>
      </c>
      <c r="K47" s="79" t="str">
        <f t="shared" ca="1" si="14"/>
        <v/>
      </c>
      <c r="L47" s="79" t="str">
        <f t="shared" ca="1" si="15"/>
        <v/>
      </c>
      <c r="M47" s="79" t="str">
        <f t="shared" ca="1" si="16"/>
        <v/>
      </c>
      <c r="N47" s="79" t="str">
        <f t="shared" ca="1" si="17"/>
        <v/>
      </c>
      <c r="O47" s="130" t="str">
        <f t="shared" ca="1" si="18"/>
        <v/>
      </c>
    </row>
    <row r="48" spans="1:15">
      <c r="A48" s="103" t="str">
        <f>Control!AE48</f>
        <v>AU</v>
      </c>
      <c r="B48" s="154">
        <f t="array" aca="1" ref="B48" ca="1">INDIRECT("Data!" &amp; A48 &amp; 2)</f>
        <v>0</v>
      </c>
      <c r="C48" s="94">
        <f t="array" aca="1" ref="C48" ca="1">INDIRECT("Data!" &amp; $A48 &amp; 3)</f>
        <v>0</v>
      </c>
      <c r="D48" s="94" t="str">
        <f t="array" aca="1" ref="D48" ca="1">IF(LEFT(INDIRECT("Data!"&amp; A48 &amp; 1),2)="MV","meting","berekening")</f>
        <v>berekening</v>
      </c>
      <c r="E48" s="76" t="str">
        <f t="shared" ca="1" si="1"/>
        <v/>
      </c>
      <c r="F48" s="76" t="str">
        <f t="shared" ca="1" si="2"/>
        <v/>
      </c>
      <c r="G48" s="76" t="str">
        <f t="shared" ca="1" si="3"/>
        <v/>
      </c>
      <c r="H48" s="76" t="str">
        <f t="shared" ca="1" si="4"/>
        <v/>
      </c>
      <c r="I48" s="79" t="str">
        <f t="shared" ca="1" si="12"/>
        <v/>
      </c>
      <c r="J48" s="79" t="str">
        <f t="shared" ca="1" si="13"/>
        <v/>
      </c>
      <c r="K48" s="79" t="str">
        <f t="shared" ca="1" si="14"/>
        <v/>
      </c>
      <c r="L48" s="79" t="str">
        <f t="shared" ca="1" si="15"/>
        <v/>
      </c>
      <c r="M48" s="79" t="str">
        <f t="shared" ca="1" si="16"/>
        <v/>
      </c>
      <c r="N48" s="79" t="str">
        <f t="shared" ca="1" si="17"/>
        <v/>
      </c>
      <c r="O48" s="130" t="str">
        <f t="shared" ca="1" si="18"/>
        <v/>
      </c>
    </row>
    <row r="49" spans="1:15">
      <c r="A49" s="103" t="str">
        <f>Control!AE49</f>
        <v>AV</v>
      </c>
      <c r="B49" s="154">
        <f t="array" aca="1" ref="B49" ca="1">INDIRECT("Data!" &amp; A49 &amp; 2)</f>
        <v>0</v>
      </c>
      <c r="C49" s="94">
        <f t="array" aca="1" ref="C49" ca="1">INDIRECT("Data!" &amp; $A49 &amp; 3)</f>
        <v>0</v>
      </c>
      <c r="D49" s="94" t="str">
        <f t="array" aca="1" ref="D49" ca="1">IF(LEFT(INDIRECT("Data!"&amp; A49 &amp; 1),2)="MV","meting","berekening")</f>
        <v>berekening</v>
      </c>
      <c r="E49" s="76" t="str">
        <f t="shared" ca="1" si="1"/>
        <v/>
      </c>
      <c r="F49" s="76" t="str">
        <f t="shared" ca="1" si="2"/>
        <v/>
      </c>
      <c r="G49" s="76" t="str">
        <f t="shared" ca="1" si="3"/>
        <v/>
      </c>
      <c r="H49" s="76" t="str">
        <f t="shared" ca="1" si="4"/>
        <v/>
      </c>
      <c r="I49" s="79" t="str">
        <f t="shared" ca="1" si="12"/>
        <v/>
      </c>
      <c r="J49" s="79" t="str">
        <f t="shared" ca="1" si="13"/>
        <v/>
      </c>
      <c r="K49" s="79" t="str">
        <f t="shared" ca="1" si="14"/>
        <v/>
      </c>
      <c r="L49" s="79" t="str">
        <f t="shared" ca="1" si="15"/>
        <v/>
      </c>
      <c r="M49" s="79" t="str">
        <f t="shared" ca="1" si="16"/>
        <v/>
      </c>
      <c r="N49" s="79" t="str">
        <f t="shared" ca="1" si="17"/>
        <v/>
      </c>
      <c r="O49" s="130" t="str">
        <f t="shared" ca="1" si="18"/>
        <v/>
      </c>
    </row>
    <row r="50" spans="1:15">
      <c r="A50" s="103" t="str">
        <f>Control!AE50</f>
        <v>AW</v>
      </c>
      <c r="B50" s="154">
        <f t="array" aca="1" ref="B50" ca="1">INDIRECT("Data!" &amp; A50 &amp; 2)</f>
        <v>0</v>
      </c>
      <c r="C50" s="94">
        <f t="array" aca="1" ref="C50" ca="1">INDIRECT("Data!" &amp; $A50 &amp; 3)</f>
        <v>0</v>
      </c>
      <c r="D50" s="94" t="str">
        <f t="array" aca="1" ref="D50" ca="1">IF(LEFT(INDIRECT("Data!"&amp; A50 &amp; 1),2)="MV","meting","berekening")</f>
        <v>berekening</v>
      </c>
      <c r="E50" s="76" t="str">
        <f t="shared" ca="1" si="1"/>
        <v/>
      </c>
      <c r="F50" s="76" t="str">
        <f t="shared" ca="1" si="2"/>
        <v/>
      </c>
      <c r="G50" s="76" t="str">
        <f t="shared" ca="1" si="3"/>
        <v/>
      </c>
      <c r="H50" s="76" t="str">
        <f t="shared" ca="1" si="4"/>
        <v/>
      </c>
      <c r="I50" s="79" t="str">
        <f t="shared" ca="1" si="12"/>
        <v/>
      </c>
      <c r="J50" s="79" t="str">
        <f t="shared" ca="1" si="13"/>
        <v/>
      </c>
      <c r="K50" s="79" t="str">
        <f t="shared" ca="1" si="14"/>
        <v/>
      </c>
      <c r="L50" s="79" t="str">
        <f t="shared" ca="1" si="15"/>
        <v/>
      </c>
      <c r="M50" s="79" t="str">
        <f t="shared" ca="1" si="16"/>
        <v/>
      </c>
      <c r="N50" s="79" t="str">
        <f t="shared" ca="1" si="17"/>
        <v/>
      </c>
      <c r="O50" s="130" t="str">
        <f t="shared" ca="1" si="18"/>
        <v/>
      </c>
    </row>
    <row r="51" spans="1:15">
      <c r="A51" s="103" t="str">
        <f>Control!AE51</f>
        <v>AX</v>
      </c>
      <c r="B51" s="154">
        <f t="array" aca="1" ref="B51" ca="1">INDIRECT("Data!" &amp; A51 &amp; 2)</f>
        <v>0</v>
      </c>
      <c r="C51" s="94">
        <f t="array" aca="1" ref="C51" ca="1">INDIRECT("Data!" &amp; $A51 &amp; 3)</f>
        <v>0</v>
      </c>
      <c r="D51" s="94" t="str">
        <f t="array" aca="1" ref="D51" ca="1">IF(LEFT(INDIRECT("Data!"&amp; A51 &amp; 1),2)="MV","meting","berekening")</f>
        <v>berekening</v>
      </c>
      <c r="E51" s="76" t="str">
        <f t="shared" ca="1" si="1"/>
        <v/>
      </c>
      <c r="F51" s="76" t="str">
        <f t="shared" ca="1" si="2"/>
        <v/>
      </c>
      <c r="G51" s="76" t="str">
        <f t="shared" ca="1" si="3"/>
        <v/>
      </c>
      <c r="H51" s="76" t="str">
        <f t="shared" ca="1" si="4"/>
        <v/>
      </c>
      <c r="I51" s="79" t="str">
        <f t="shared" ca="1" si="12"/>
        <v/>
      </c>
      <c r="J51" s="79" t="str">
        <f t="shared" ca="1" si="13"/>
        <v/>
      </c>
      <c r="K51" s="79" t="str">
        <f t="shared" ca="1" si="14"/>
        <v/>
      </c>
      <c r="L51" s="79" t="str">
        <f t="shared" ca="1" si="15"/>
        <v/>
      </c>
      <c r="M51" s="79" t="str">
        <f t="shared" ca="1" si="16"/>
        <v/>
      </c>
      <c r="N51" s="79" t="str">
        <f t="shared" ca="1" si="17"/>
        <v/>
      </c>
      <c r="O51" s="130" t="str">
        <f t="shared" ca="1" si="18"/>
        <v/>
      </c>
    </row>
    <row r="52" spans="1:15">
      <c r="A52" s="103" t="str">
        <f>Control!AE52</f>
        <v>AY</v>
      </c>
      <c r="B52" s="154">
        <f t="array" aca="1" ref="B52" ca="1">INDIRECT("Data!" &amp; A52 &amp; 2)</f>
        <v>0</v>
      </c>
      <c r="C52" s="94">
        <f t="array" aca="1" ref="C52" ca="1">INDIRECT("Data!" &amp; $A52 &amp; 3)</f>
        <v>0</v>
      </c>
      <c r="D52" s="94" t="str">
        <f t="array" aca="1" ref="D52" ca="1">IF(LEFT(INDIRECT("Data!"&amp; A52 &amp; 1),2)="MV","meting","berekening")</f>
        <v>berekening</v>
      </c>
      <c r="E52" s="76" t="str">
        <f t="shared" ca="1" si="1"/>
        <v/>
      </c>
      <c r="F52" s="76" t="str">
        <f t="shared" ca="1" si="2"/>
        <v/>
      </c>
      <c r="G52" s="76" t="str">
        <f t="shared" ca="1" si="3"/>
        <v/>
      </c>
      <c r="H52" s="76" t="str">
        <f t="shared" ca="1" si="4"/>
        <v/>
      </c>
      <c r="I52" s="79" t="str">
        <f t="shared" ca="1" si="12"/>
        <v/>
      </c>
      <c r="J52" s="79" t="str">
        <f t="shared" ca="1" si="13"/>
        <v/>
      </c>
      <c r="K52" s="79" t="str">
        <f t="shared" ca="1" si="14"/>
        <v/>
      </c>
      <c r="L52" s="79" t="str">
        <f t="shared" ca="1" si="15"/>
        <v/>
      </c>
      <c r="M52" s="79" t="str">
        <f t="shared" ca="1" si="16"/>
        <v/>
      </c>
      <c r="N52" s="79" t="str">
        <f t="shared" ca="1" si="17"/>
        <v/>
      </c>
      <c r="O52" s="130" t="str">
        <f t="shared" ca="1" si="18"/>
        <v/>
      </c>
    </row>
    <row r="53" spans="1:15">
      <c r="A53" s="103" t="str">
        <f>Control!AE53</f>
        <v>AZ</v>
      </c>
      <c r="B53" s="154">
        <f t="array" aca="1" ref="B53" ca="1">INDIRECT("Data!" &amp; A53 &amp; 2)</f>
        <v>0</v>
      </c>
      <c r="C53" s="94">
        <f t="array" aca="1" ref="C53" ca="1">INDIRECT("Data!" &amp; $A53 &amp; 3)</f>
        <v>0</v>
      </c>
      <c r="D53" s="94" t="str">
        <f t="array" aca="1" ref="D53" ca="1">IF(LEFT(INDIRECT("Data!"&amp; A53 &amp; 1),2)="MV","meting","berekening")</f>
        <v>berekening</v>
      </c>
      <c r="E53" s="76" t="str">
        <f t="shared" ca="1" si="1"/>
        <v/>
      </c>
      <c r="F53" s="76" t="str">
        <f t="shared" ca="1" si="2"/>
        <v/>
      </c>
      <c r="G53" s="76" t="str">
        <f t="shared" ca="1" si="3"/>
        <v/>
      </c>
      <c r="H53" s="76" t="str">
        <f t="shared" ca="1" si="4"/>
        <v/>
      </c>
      <c r="I53" s="79" t="str">
        <f t="shared" ca="1" si="12"/>
        <v/>
      </c>
      <c r="J53" s="79" t="str">
        <f t="shared" ca="1" si="13"/>
        <v/>
      </c>
      <c r="K53" s="79" t="str">
        <f t="shared" ca="1" si="14"/>
        <v/>
      </c>
      <c r="L53" s="79" t="str">
        <f t="shared" ca="1" si="15"/>
        <v/>
      </c>
      <c r="M53" s="79" t="str">
        <f t="shared" ca="1" si="16"/>
        <v/>
      </c>
      <c r="N53" s="79" t="str">
        <f t="shared" ca="1" si="17"/>
        <v/>
      </c>
      <c r="O53" s="130" t="str">
        <f t="shared" ca="1" si="18"/>
        <v/>
      </c>
    </row>
    <row r="54" spans="1:15">
      <c r="A54" s="103" t="str">
        <f>Control!AE54</f>
        <v>BA</v>
      </c>
      <c r="B54" s="154">
        <f t="array" aca="1" ref="B54" ca="1">INDIRECT("Data!" &amp; A54 &amp; 2)</f>
        <v>0</v>
      </c>
      <c r="C54" s="94">
        <f t="array" aca="1" ref="C54" ca="1">INDIRECT("Data!" &amp; $A54 &amp; 3)</f>
        <v>0</v>
      </c>
      <c r="D54" s="94" t="str">
        <f t="array" aca="1" ref="D54" ca="1">IF(LEFT(INDIRECT("Data!"&amp; A54 &amp; 1),2)="MV","meting","berekening")</f>
        <v>berekening</v>
      </c>
      <c r="E54" s="76" t="str">
        <f t="shared" ca="1" si="1"/>
        <v/>
      </c>
      <c r="F54" s="76" t="str">
        <f t="shared" ca="1" si="2"/>
        <v/>
      </c>
      <c r="G54" s="76" t="str">
        <f t="shared" ca="1" si="3"/>
        <v/>
      </c>
      <c r="H54" s="76" t="str">
        <f t="shared" ca="1" si="4"/>
        <v/>
      </c>
      <c r="I54" s="79" t="str">
        <f t="shared" ca="1" si="12"/>
        <v/>
      </c>
      <c r="J54" s="79" t="str">
        <f t="shared" ca="1" si="13"/>
        <v/>
      </c>
      <c r="K54" s="79" t="str">
        <f t="shared" ca="1" si="14"/>
        <v/>
      </c>
      <c r="L54" s="79" t="str">
        <f t="shared" ca="1" si="15"/>
        <v/>
      </c>
      <c r="M54" s="79" t="str">
        <f t="shared" ca="1" si="16"/>
        <v/>
      </c>
      <c r="N54" s="79" t="str">
        <f t="shared" ca="1" si="17"/>
        <v/>
      </c>
      <c r="O54" s="130" t="str">
        <f t="shared" ca="1" si="18"/>
        <v/>
      </c>
    </row>
    <row r="55" spans="1:15">
      <c r="A55" s="103" t="str">
        <f>Control!AE55</f>
        <v>BB</v>
      </c>
      <c r="B55" s="154">
        <f t="array" aca="1" ref="B55" ca="1">INDIRECT("Data!" &amp; A55 &amp; 2)</f>
        <v>0</v>
      </c>
      <c r="C55" s="94">
        <f t="array" aca="1" ref="C55" ca="1">INDIRECT("Data!" &amp; $A55 &amp; 3)</f>
        <v>0</v>
      </c>
      <c r="D55" s="94" t="str">
        <f t="array" aca="1" ref="D55" ca="1">IF(LEFT(INDIRECT("Data!"&amp; A55 &amp; 1),2)="MV","meting","berekening")</f>
        <v>berekening</v>
      </c>
      <c r="E55" s="76" t="str">
        <f t="shared" ca="1" si="1"/>
        <v/>
      </c>
      <c r="F55" s="76" t="str">
        <f t="shared" ca="1" si="2"/>
        <v/>
      </c>
      <c r="G55" s="76" t="str">
        <f t="shared" ca="1" si="3"/>
        <v/>
      </c>
      <c r="H55" s="76" t="str">
        <f t="shared" ca="1" si="4"/>
        <v/>
      </c>
      <c r="I55" s="79" t="str">
        <f t="shared" ca="1" si="12"/>
        <v/>
      </c>
      <c r="J55" s="79" t="str">
        <f t="shared" ca="1" si="13"/>
        <v/>
      </c>
      <c r="K55" s="79" t="str">
        <f t="shared" ca="1" si="14"/>
        <v/>
      </c>
      <c r="L55" s="79" t="str">
        <f t="shared" ca="1" si="15"/>
        <v/>
      </c>
      <c r="M55" s="79" t="str">
        <f t="shared" ca="1" si="16"/>
        <v/>
      </c>
      <c r="N55" s="79" t="str">
        <f t="shared" ca="1" si="17"/>
        <v/>
      </c>
      <c r="O55" s="130" t="str">
        <f t="shared" ca="1" si="18"/>
        <v/>
      </c>
    </row>
    <row r="56" spans="1:15">
      <c r="A56" s="103" t="str">
        <f>Control!AE56</f>
        <v>BC</v>
      </c>
      <c r="B56" s="154">
        <f t="array" aca="1" ref="B56" ca="1">INDIRECT("Data!" &amp; A56 &amp; 2)</f>
        <v>0</v>
      </c>
      <c r="C56" s="94">
        <f t="array" aca="1" ref="C56" ca="1">INDIRECT("Data!" &amp; $A56 &amp; 3)</f>
        <v>0</v>
      </c>
      <c r="D56" s="94" t="str">
        <f t="array" aca="1" ref="D56" ca="1">IF(LEFT(INDIRECT("Data!"&amp; A56 &amp; 1),2)="MV","meting","berekening")</f>
        <v>berekening</v>
      </c>
      <c r="E56" s="76" t="str">
        <f t="shared" ca="1" si="1"/>
        <v/>
      </c>
      <c r="F56" s="76" t="str">
        <f t="shared" ca="1" si="2"/>
        <v/>
      </c>
      <c r="G56" s="76" t="str">
        <f t="shared" ca="1" si="3"/>
        <v/>
      </c>
      <c r="H56" s="76" t="str">
        <f t="shared" ca="1" si="4"/>
        <v/>
      </c>
      <c r="I56" s="79" t="str">
        <f t="shared" ref="I56:O56" ca="1" si="19">IFERROR(AVERAGE(INDIRECT("Data!" &amp; $A56 &amp; I$1 &amp; ":" &amp; $A56 &amp; J$1-1)),"")</f>
        <v/>
      </c>
      <c r="J56" s="79" t="str">
        <f t="shared" ca="1" si="19"/>
        <v/>
      </c>
      <c r="K56" s="79" t="str">
        <f t="shared" ca="1" si="19"/>
        <v/>
      </c>
      <c r="L56" s="79" t="str">
        <f t="shared" ca="1" si="19"/>
        <v/>
      </c>
      <c r="M56" s="79" t="str">
        <f t="shared" ca="1" si="19"/>
        <v/>
      </c>
      <c r="N56" s="79" t="str">
        <f t="shared" ca="1" si="19"/>
        <v/>
      </c>
      <c r="O56" s="130" t="str">
        <f t="shared" ca="1" si="19"/>
        <v/>
      </c>
    </row>
    <row r="57" spans="1:15" ht="15">
      <c r="B57" s="168" t="s">
        <v>266</v>
      </c>
      <c r="C57" s="169"/>
      <c r="D57" s="169"/>
      <c r="E57" s="169"/>
      <c r="F57" s="169"/>
      <c r="G57" s="169"/>
      <c r="H57" s="170"/>
      <c r="I57" s="162" t="s">
        <v>263</v>
      </c>
      <c r="J57" s="163"/>
      <c r="K57" s="163"/>
      <c r="L57" s="163"/>
      <c r="M57" s="163"/>
      <c r="N57" s="163"/>
      <c r="O57" s="164"/>
    </row>
    <row r="58" spans="1:15">
      <c r="B58" s="131" t="s">
        <v>4</v>
      </c>
      <c r="C58" s="93" t="s">
        <v>324</v>
      </c>
      <c r="D58" s="93" t="s">
        <v>259</v>
      </c>
      <c r="E58" s="106"/>
      <c r="F58" s="106"/>
      <c r="G58" s="75" t="str">
        <f>IFERROR(SUM(INDEX(Sum_week!$A$2:$ZZ$1000, 0, MATCH(TRIM(CLEAN(B58)), Sum_week!$A$1:$ZZ$1, 0))), "")</f>
        <v/>
      </c>
      <c r="H58" s="105"/>
      <c r="I58" s="80" t="str">
        <f>IFERROR(INDEX(Sum_day!$A$2:$ZZ$2, 1, MATCH(TRIM(CLEAN(B58)), Sum_day!$A$1:$ZZ$1, 0)), "")</f>
        <v/>
      </c>
      <c r="J58" s="80" t="str">
        <f>IFERROR(INDEX(Sum_day!$A$3:$ZZ$3, 1, MATCH(TRIM(CLEAN(B58)), Sum_day!$A$1:$ZZ$1, 0)), "")</f>
        <v/>
      </c>
      <c r="K58" s="80" t="str">
        <f>IFERROR(INDEX(Sum_day!$A$4:$ZZ$4, 1, MATCH(TRIM(CLEAN(B58)), Sum_day!$A$1:$ZZ$1, 0)), "")</f>
        <v/>
      </c>
      <c r="L58" s="80" t="str">
        <f>IFERROR(INDEX(Sum_day!$A$5:$ZZ$5, 1, MATCH(TRIM(CLEAN(B58)), Sum_day!$A$1:$ZZ$1, 0)), "")</f>
        <v/>
      </c>
      <c r="M58" s="80" t="str">
        <f>IFERROR(INDEX(Sum_day!$A$6:$ZZ$6, 1, MATCH(TRIM(CLEAN(B58)), Sum_day!$A$1:$ZZ$1, 0)), "")</f>
        <v/>
      </c>
      <c r="N58" s="80" t="str">
        <f>IFERROR(INDEX(Sum_day!$A$7:$ZZ$7, 1, MATCH(TRIM(CLEAN(B58)), Sum_day!$A$1:$ZZ$1, 0)), "")</f>
        <v/>
      </c>
      <c r="O58" s="150" t="str">
        <f>IFERROR(INDEX(Sum_day!$A$8:$ZZ$8, 1, MATCH(TRIM(CLEAN(B58)), Sum_day!$A$1:$ZZ$1, 0)), "")</f>
        <v/>
      </c>
    </row>
    <row r="59" spans="1:15">
      <c r="B59" s="132" t="s">
        <v>5</v>
      </c>
      <c r="C59" s="94" t="s">
        <v>324</v>
      </c>
      <c r="D59" s="94" t="s">
        <v>259</v>
      </c>
      <c r="E59" s="107"/>
      <c r="F59" s="107"/>
      <c r="G59" s="75" t="str">
        <f>IFERROR(SUM(INDEX(Sum_week!$A$2:$ZZ$1000, 0, MATCH(TRIM(CLEAN(B59)), Sum_week!$A$1:$ZZ$1, 0))), "")</f>
        <v/>
      </c>
      <c r="H59" s="101"/>
      <c r="I59" s="81" t="str">
        <f>IFERROR(INDEX(Sum_day!$A$2:$ZZ$2, 1, MATCH(TRIM(CLEAN(B59)), Sum_day!$A$1:$ZZ$1, 0)), "")</f>
        <v/>
      </c>
      <c r="J59" s="81" t="str">
        <f>IFERROR(INDEX(Sum_day!$A$3:$ZZ$3, 1, MATCH(TRIM(CLEAN(B59)), Sum_day!$A$1:$ZZ$1, 0)), "")</f>
        <v/>
      </c>
      <c r="K59" s="81" t="str">
        <f>IFERROR(INDEX(Sum_day!$A$4:$ZZ$4, 1, MATCH(TRIM(CLEAN(B59)), Sum_day!$A$1:$ZZ$1, 0)), "")</f>
        <v/>
      </c>
      <c r="L59" s="81" t="str">
        <f>IFERROR(INDEX(Sum_day!$A$5:$ZZ$5, 1, MATCH(TRIM(CLEAN(B59)), Sum_day!$A$1:$ZZ$1, 0)), "")</f>
        <v/>
      </c>
      <c r="M59" s="81" t="str">
        <f>IFERROR(INDEX(Sum_day!$A$6:$ZZ$6, 1, MATCH(TRIM(CLEAN(B59)), Sum_day!$A$1:$ZZ$1, 0)), "")</f>
        <v/>
      </c>
      <c r="N59" s="81" t="str">
        <f>IFERROR(INDEX(Sum_day!$A$7:$ZZ$7, 1, MATCH(TRIM(CLEAN(B59)), Sum_day!$A$1:$ZZ$1, 0)), "")</f>
        <v/>
      </c>
      <c r="O59" s="151" t="str">
        <f>IFERROR(INDEX(Sum_day!$A$8:$ZZ$8, 1, MATCH(TRIM(CLEAN(B59)), Sum_day!$A$1:$ZZ$1, 0)), "")</f>
        <v/>
      </c>
    </row>
    <row r="60" spans="1:15">
      <c r="B60" s="132" t="s">
        <v>329</v>
      </c>
      <c r="C60" s="94" t="s">
        <v>324</v>
      </c>
      <c r="D60" s="94" t="s">
        <v>259</v>
      </c>
      <c r="E60" s="107"/>
      <c r="F60" s="107"/>
      <c r="G60" s="75" t="str">
        <f>IFERROR(SUM(INDEX(Sum_week!$A$2:$ZZ$1000, 0, MATCH(TRIM(CLEAN(B60)), Sum_week!$A$1:$ZZ$1, 0))), "")</f>
        <v/>
      </c>
      <c r="H60" s="101"/>
      <c r="I60" s="81" t="str">
        <f>IFERROR(INDEX(Sum_day!$A$2:$ZZ$2, 1, MATCH(TRIM(CLEAN(B60)), Sum_day!$A$1:$ZZ$1, 0)), "")</f>
        <v/>
      </c>
      <c r="J60" s="81" t="str">
        <f>IFERROR(INDEX(Sum_day!$A$3:$ZZ$3, 1, MATCH(TRIM(CLEAN(B60)), Sum_day!$A$1:$ZZ$1, 0)), "")</f>
        <v/>
      </c>
      <c r="K60" s="81" t="str">
        <f>IFERROR(INDEX(Sum_day!$A$4:$ZZ$4, 1, MATCH(TRIM(CLEAN(B60)), Sum_day!$A$1:$ZZ$1, 0)), "")</f>
        <v/>
      </c>
      <c r="L60" s="81" t="str">
        <f>IFERROR(INDEX(Sum_day!$A$5:$ZZ$5, 1, MATCH(TRIM(CLEAN(B60)), Sum_day!$A$1:$ZZ$1, 0)), "")</f>
        <v/>
      </c>
      <c r="M60" s="81" t="str">
        <f>IFERROR(INDEX(Sum_day!$A$6:$ZZ$6, 1, MATCH(TRIM(CLEAN(B60)), Sum_day!$A$1:$ZZ$1, 0)), "")</f>
        <v/>
      </c>
      <c r="N60" s="81" t="str">
        <f>IFERROR(INDEX(Sum_day!$A$7:$ZZ$7, 1, MATCH(TRIM(CLEAN(B60)), Sum_day!$A$1:$ZZ$1, 0)), "")</f>
        <v/>
      </c>
      <c r="O60" s="151" t="str">
        <f>IFERROR(INDEX(Sum_day!$A$8:$ZZ$8, 1, MATCH(TRIM(CLEAN(B60)), Sum_day!$A$1:$ZZ$1, 0)), "")</f>
        <v/>
      </c>
    </row>
    <row r="61" spans="1:15">
      <c r="B61" s="132" t="s">
        <v>6</v>
      </c>
      <c r="C61" s="94" t="s">
        <v>325</v>
      </c>
      <c r="D61" s="94" t="s">
        <v>259</v>
      </c>
      <c r="E61" s="107"/>
      <c r="F61" s="107"/>
      <c r="G61" s="75" t="str">
        <f>IFERROR(SUM(INDEX(Sum_week!$A$2:$ZZ$1000, 0, MATCH(TRIM(CLEAN(B61)), Sum_week!$A$1:$ZZ$1, 0))), "")</f>
        <v/>
      </c>
      <c r="H61" s="101"/>
      <c r="I61" s="81" t="str">
        <f>IFERROR(INDEX(Sum_day!$A$2:$ZZ$2, 1, MATCH(TRIM(CLEAN(B61)), Sum_day!$A$1:$ZZ$1, 0)), "")</f>
        <v/>
      </c>
      <c r="J61" s="81" t="str">
        <f>IFERROR(INDEX(Sum_day!$A$3:$ZZ$3, 1, MATCH(TRIM(CLEAN(B61)), Sum_day!$A$1:$ZZ$1, 0)), "")</f>
        <v/>
      </c>
      <c r="K61" s="81" t="str">
        <f>IFERROR(INDEX(Sum_day!$A$4:$ZZ$4, 1, MATCH(TRIM(CLEAN(B61)), Sum_day!$A$1:$ZZ$1, 0)), "")</f>
        <v/>
      </c>
      <c r="L61" s="81" t="str">
        <f>IFERROR(INDEX(Sum_day!$A$5:$ZZ$5, 1, MATCH(TRIM(CLEAN(B61)), Sum_day!$A$1:$ZZ$1, 0)), "")</f>
        <v/>
      </c>
      <c r="M61" s="81" t="str">
        <f>IFERROR(INDEX(Sum_day!$A$6:$ZZ$6, 1, MATCH(TRIM(CLEAN(B61)), Sum_day!$A$1:$ZZ$1, 0)), "")</f>
        <v/>
      </c>
      <c r="N61" s="81" t="str">
        <f>IFERROR(INDEX(Sum_day!$A$7:$ZZ$7, 1, MATCH(TRIM(CLEAN(B61)), Sum_day!$A$1:$ZZ$1, 0)), "")</f>
        <v/>
      </c>
      <c r="O61" s="151" t="str">
        <f>IFERROR(INDEX(Sum_day!$A$8:$ZZ$8, 1, MATCH(TRIM(CLEAN(B61)), Sum_day!$A$1:$ZZ$1, 0)), "")</f>
        <v/>
      </c>
    </row>
    <row r="62" spans="1:15">
      <c r="B62" s="132" t="s">
        <v>7</v>
      </c>
      <c r="C62" s="94" t="s">
        <v>326</v>
      </c>
      <c r="D62" s="94" t="s">
        <v>259</v>
      </c>
      <c r="E62" s="107"/>
      <c r="F62" s="107"/>
      <c r="G62" s="75" t="str">
        <f>IFERROR(SUM(INDEX(Sum_week!$A$2:$ZZ$1000, 0, MATCH(TRIM(CLEAN(B62)), Sum_week!$A$1:$ZZ$1, 0)))/1000, "")</f>
        <v/>
      </c>
      <c r="H62" s="101"/>
      <c r="I62" s="81" t="str">
        <f>IFERROR(INDEX(Sum_day!$A$2:$ZZ$2, 1, MATCH(TRIM(CLEAN(B62)), Sum_day!$A$1:$ZZ$1, 0))/1000, "")</f>
        <v/>
      </c>
      <c r="J62" s="81" t="str">
        <f>IFERROR(INDEX(Sum_day!$A$3:$ZZ$3, 1, MATCH(TRIM(CLEAN(B62)), Sum_day!$A$1:$ZZ$1, 0))/1000, "")</f>
        <v/>
      </c>
      <c r="K62" s="81" t="str">
        <f>IFERROR(INDEX(Sum_day!$A$4:$ZZ$4, 1, MATCH(TRIM(CLEAN(B62)), Sum_day!$A$1:$ZZ$1, 0))/1000, "")</f>
        <v/>
      </c>
      <c r="L62" s="81" t="str">
        <f>IFERROR(INDEX(Sum_day!$A$5:$ZZ$5, 1, MATCH(TRIM(CLEAN(B62)), Sum_day!$A$1:$ZZ$1, 0))/1000, "")</f>
        <v/>
      </c>
      <c r="M62" s="81" t="str">
        <f>IFERROR(INDEX(Sum_day!$A$6:$ZZ$6, 1, MATCH(TRIM(CLEAN(B62)), Sum_day!$A$1:$ZZ$1, 0))/1000, "")</f>
        <v/>
      </c>
      <c r="N62" s="81" t="str">
        <f>IFERROR(INDEX(Sum_day!$A$7:$ZZ$7, 1, MATCH(TRIM(CLEAN(B62)), Sum_day!$A$1:$ZZ$1, 0))/1000, "")</f>
        <v/>
      </c>
      <c r="O62" s="151" t="str">
        <f>IFERROR(INDEX(Sum_day!$A$8:$ZZ$8, 1, MATCH(TRIM(CLEAN(B62)), Sum_day!$A$1:$ZZ$1, 0))/1000, "")</f>
        <v/>
      </c>
    </row>
    <row r="63" spans="1:15">
      <c r="B63" s="132" t="s">
        <v>8</v>
      </c>
      <c r="C63" s="94" t="s">
        <v>326</v>
      </c>
      <c r="D63" s="94" t="s">
        <v>259</v>
      </c>
      <c r="E63" s="107"/>
      <c r="F63" s="107"/>
      <c r="G63" s="75" t="str">
        <f>IFERROR(SUM(INDEX(Sum_week!$A$2:$ZZ$1000, 0, MATCH(TRIM(CLEAN(B63)), Sum_week!$A$1:$ZZ$1, 0)))/1000, "")</f>
        <v/>
      </c>
      <c r="H63" s="101"/>
      <c r="I63" s="81" t="str">
        <f>IFERROR(INDEX(Sum_day!$A$2:$ZZ$2, 1, MATCH(TRIM(CLEAN(B63)), Sum_day!$A$1:$ZZ$1, 0))/1000, "")</f>
        <v/>
      </c>
      <c r="J63" s="81" t="str">
        <f>IFERROR(INDEX(Sum_day!$A$3:$ZZ$3, 1, MATCH(TRIM(CLEAN(B63)), Sum_day!$A$1:$ZZ$1, 0))/1000, "")</f>
        <v/>
      </c>
      <c r="K63" s="81" t="str">
        <f>IFERROR(INDEX(Sum_day!$A$4:$ZZ$4, 1, MATCH(TRIM(CLEAN(B63)), Sum_day!$A$1:$ZZ$1, 0))/1000, "")</f>
        <v/>
      </c>
      <c r="L63" s="81" t="str">
        <f>IFERROR(INDEX(Sum_day!$A$5:$ZZ$5, 1, MATCH(TRIM(CLEAN(B63)), Sum_day!$A$1:$ZZ$1, 0))/1000, "")</f>
        <v/>
      </c>
      <c r="M63" s="81" t="str">
        <f>IFERROR(INDEX(Sum_day!$A$6:$ZZ$6, 1, MATCH(TRIM(CLEAN(B63)), Sum_day!$A$1:$ZZ$1, 0))/1000, "")</f>
        <v/>
      </c>
      <c r="N63" s="81" t="str">
        <f>IFERROR(INDEX(Sum_day!$A$7:$ZZ$7, 1, MATCH(TRIM(CLEAN(B63)), Sum_day!$A$1:$ZZ$1, 0))/1000, "")</f>
        <v/>
      </c>
      <c r="O63" s="151" t="str">
        <f>IFERROR(INDEX(Sum_day!$A$8:$ZZ$8, 1, MATCH(TRIM(CLEAN(B63)), Sum_day!$A$1:$ZZ$1, 0))/1000, "")</f>
        <v/>
      </c>
    </row>
    <row r="64" spans="1:15">
      <c r="B64" s="132" t="s">
        <v>9</v>
      </c>
      <c r="C64" s="94" t="s">
        <v>326</v>
      </c>
      <c r="D64" s="94" t="s">
        <v>259</v>
      </c>
      <c r="E64" s="107"/>
      <c r="F64" s="107"/>
      <c r="G64" s="75" t="str">
        <f>IFERROR(SUM(INDEX(Sum_week!$A$2:$ZZ$1000, 0, MATCH(TRIM(CLEAN(B64)), Sum_week!$A$1:$ZZ$1, 0)))/1000, "")</f>
        <v/>
      </c>
      <c r="H64" s="101"/>
      <c r="I64" s="81" t="str">
        <f>IFERROR(INDEX(Sum_day!$A$2:$ZZ$2, 1, MATCH(TRIM(CLEAN(B64)), Sum_day!$A$1:$ZZ$1, 0))/1000, "")</f>
        <v/>
      </c>
      <c r="J64" s="81" t="str">
        <f>IFERROR(INDEX(Sum_day!$A$3:$ZZ$3, 1, MATCH(TRIM(CLEAN(B64)), Sum_day!$A$1:$ZZ$1, 0))/1000, "")</f>
        <v/>
      </c>
      <c r="K64" s="81" t="str">
        <f>IFERROR(INDEX(Sum_day!$A$4:$ZZ$4, 1, MATCH(TRIM(CLEAN(B64)), Sum_day!$A$1:$ZZ$1, 0))/1000, "")</f>
        <v/>
      </c>
      <c r="L64" s="81" t="str">
        <f>IFERROR(INDEX(Sum_day!$A$5:$ZZ$5, 1, MATCH(TRIM(CLEAN(B64)), Sum_day!$A$1:$ZZ$1, 0))/1000, "")</f>
        <v/>
      </c>
      <c r="M64" s="81" t="str">
        <f>IFERROR(INDEX(Sum_day!$A$6:$ZZ$6, 1, MATCH(TRIM(CLEAN(B64)), Sum_day!$A$1:$ZZ$1, 0))/1000, "")</f>
        <v/>
      </c>
      <c r="N64" s="81" t="str">
        <f>IFERROR(INDEX(Sum_day!$A$7:$ZZ$7, 1, MATCH(TRIM(CLEAN(B64)), Sum_day!$A$1:$ZZ$1, 0))/1000, "")</f>
        <v/>
      </c>
      <c r="O64" s="151" t="str">
        <f>IFERROR(INDEX(Sum_day!$A$8:$ZZ$8, 1, MATCH(TRIM(CLEAN(B64)), Sum_day!$A$1:$ZZ$1, 0))/1000, "")</f>
        <v/>
      </c>
    </row>
    <row r="65" spans="1:15">
      <c r="B65" s="132" t="s">
        <v>213</v>
      </c>
      <c r="C65" s="94" t="s">
        <v>327</v>
      </c>
      <c r="D65" s="94" t="s">
        <v>259</v>
      </c>
      <c r="E65" s="107"/>
      <c r="F65" s="107"/>
      <c r="G65" s="75" t="str">
        <f>IFERROR(SUM(INDEX(Sum_week!$A$2:$ZZ$1000, 0, MATCH(TRIM(CLEAN(B65)), Sum_week!$A$1:$ZZ$1, 0))), "")</f>
        <v/>
      </c>
      <c r="H65" s="101"/>
      <c r="I65" s="81" t="str">
        <f>IFERROR(INDEX(Sum_day!$A$2:$ZZ$2, 1, MATCH(TRIM(CLEAN(B65)), Sum_day!$A$1:$ZZ$1, 0)), "")</f>
        <v/>
      </c>
      <c r="J65" s="81" t="str">
        <f>IFERROR(INDEX(Sum_day!$A$3:$ZZ$3, 1, MATCH(TRIM(CLEAN(B65)), Sum_day!$A$1:$ZZ$1, 0)), "")</f>
        <v/>
      </c>
      <c r="K65" s="81" t="str">
        <f>IFERROR(INDEX(Sum_day!$A$4:$ZZ$4, 1, MATCH(TRIM(CLEAN(B65)), Sum_day!$A$1:$ZZ$1, 0)), "")</f>
        <v/>
      </c>
      <c r="L65" s="81" t="str">
        <f>IFERROR(INDEX(Sum_day!$A$5:$ZZ$5, 1, MATCH(TRIM(CLEAN(B65)), Sum_day!$A$1:$ZZ$1, 0)), "")</f>
        <v/>
      </c>
      <c r="M65" s="81" t="str">
        <f>IFERROR(INDEX(Sum_day!$A$6:$ZZ$6, 1, MATCH(TRIM(CLEAN(B65)), Sum_day!$A$1:$ZZ$1, 0)), "")</f>
        <v/>
      </c>
      <c r="N65" s="81" t="str">
        <f>IFERROR(INDEX(Sum_day!$A$7:$ZZ$7, 1, MATCH(TRIM(CLEAN(B65)), Sum_day!$A$1:$ZZ$1, 0)), "")</f>
        <v/>
      </c>
      <c r="O65" s="151" t="str">
        <f>IFERROR(INDEX(Sum_day!$A$8:$ZZ$8, 1, MATCH(TRIM(CLEAN(B65)), Sum_day!$A$1:$ZZ$1, 0)), "")</f>
        <v/>
      </c>
    </row>
    <row r="66" spans="1:15">
      <c r="B66" s="132" t="s">
        <v>214</v>
      </c>
      <c r="C66" s="94" t="s">
        <v>327</v>
      </c>
      <c r="D66" s="94" t="s">
        <v>259</v>
      </c>
      <c r="E66" s="107"/>
      <c r="F66" s="107"/>
      <c r="G66" s="75" t="str">
        <f>IFERROR(SUM(INDEX(Sum_week!$A$2:$ZZ$1000, 0, MATCH(TRIM(CLEAN(B66)), Sum_week!$A$1:$ZZ$1, 0))), "")</f>
        <v/>
      </c>
      <c r="H66" s="101"/>
      <c r="I66" s="81" t="str">
        <f>IFERROR(INDEX(Sum_day!$A$2:$ZZ$2, 1, MATCH(TRIM(CLEAN(B66)), Sum_day!$A$1:$ZZ$1, 0)), "")</f>
        <v/>
      </c>
      <c r="J66" s="81" t="str">
        <f>IFERROR(INDEX(Sum_day!$A$3:$ZZ$3, 1, MATCH(TRIM(CLEAN(B66)), Sum_day!$A$1:$ZZ$1, 0)), "")</f>
        <v/>
      </c>
      <c r="K66" s="81" t="str">
        <f>IFERROR(INDEX(Sum_day!$A$4:$ZZ$4, 1, MATCH(TRIM(CLEAN(B66)), Sum_day!$A$1:$ZZ$1, 0)), "")</f>
        <v/>
      </c>
      <c r="L66" s="81" t="str">
        <f>IFERROR(INDEX(Sum_day!$A$5:$ZZ$5, 1, MATCH(TRIM(CLEAN(B66)), Sum_day!$A$1:$ZZ$1, 0)), "")</f>
        <v/>
      </c>
      <c r="M66" s="81" t="str">
        <f>IFERROR(INDEX(Sum_day!$A$6:$ZZ$6, 1, MATCH(TRIM(CLEAN(B66)), Sum_day!$A$1:$ZZ$1, 0)), "")</f>
        <v/>
      </c>
      <c r="N66" s="81" t="str">
        <f>IFERROR(INDEX(Sum_day!$A$7:$ZZ$7, 1, MATCH(TRIM(CLEAN(B66)), Sum_day!$A$1:$ZZ$1, 0)), "")</f>
        <v/>
      </c>
      <c r="O66" s="151" t="str">
        <f>IFERROR(INDEX(Sum_day!$A$8:$ZZ$8, 1, MATCH(TRIM(CLEAN(B66)), Sum_day!$A$1:$ZZ$1, 0)), "")</f>
        <v/>
      </c>
    </row>
    <row r="67" spans="1:15">
      <c r="B67" s="132" t="s">
        <v>328</v>
      </c>
      <c r="C67" s="94" t="s">
        <v>327</v>
      </c>
      <c r="D67" s="94" t="s">
        <v>259</v>
      </c>
      <c r="E67" s="107"/>
      <c r="F67" s="107"/>
      <c r="G67" s="75" t="str">
        <f>IFERROR(SUM(INDEX(Sum_week!$A$2:$ZZ$1000, 0, MATCH(TRIM(CLEAN(B67)), Sum_week!$A$1:$ZZ$1, 0))), "")</f>
        <v/>
      </c>
      <c r="H67" s="101"/>
      <c r="I67" s="81" t="str">
        <f>IFERROR(INDEX(Sum_day!$A$2:$ZZ$2, 1, MATCH(TRIM(CLEAN(B67)), Sum_day!$A$1:$ZZ$1, 0)), "")</f>
        <v/>
      </c>
      <c r="J67" s="81" t="str">
        <f>IFERROR(INDEX(Sum_day!$A$3:$ZZ$3, 1, MATCH(TRIM(CLEAN(B67)), Sum_day!$A$1:$ZZ$1, 0)), "")</f>
        <v/>
      </c>
      <c r="K67" s="81" t="str">
        <f>IFERROR(INDEX(Sum_day!$A$4:$ZZ$4, 1, MATCH(TRIM(CLEAN(B67)), Sum_day!$A$1:$ZZ$1, 0)), "")</f>
        <v/>
      </c>
      <c r="L67" s="81" t="str">
        <f>IFERROR(INDEX(Sum_day!$A$5:$ZZ$5, 1, MATCH(TRIM(CLEAN(B67)), Sum_day!$A$1:$ZZ$1, 0)), "")</f>
        <v/>
      </c>
      <c r="M67" s="81" t="str">
        <f>IFERROR(INDEX(Sum_day!$A$6:$ZZ$6, 1, MATCH(TRIM(CLEAN(B67)), Sum_day!$A$1:$ZZ$1, 0)), "")</f>
        <v/>
      </c>
      <c r="N67" s="81" t="str">
        <f>IFERROR(INDEX(Sum_day!$A$7:$ZZ$7, 1, MATCH(TRIM(CLEAN(B67)), Sum_day!$A$1:$ZZ$1, 0)), "")</f>
        <v/>
      </c>
      <c r="O67" s="151" t="str">
        <f>IFERROR(INDEX(Sum_day!$A$8:$ZZ$8, 1, MATCH(TRIM(CLEAN(B67)), Sum_day!$A$1:$ZZ$1, 0)), "")</f>
        <v/>
      </c>
    </row>
    <row r="68" spans="1:15">
      <c r="B68" s="132" t="s">
        <v>14</v>
      </c>
      <c r="C68" s="94" t="s">
        <v>327</v>
      </c>
      <c r="D68" s="94" t="s">
        <v>259</v>
      </c>
      <c r="E68" s="107"/>
      <c r="F68" s="107"/>
      <c r="G68" s="75" t="str">
        <f>IFERROR(SUM(INDEX(Sum_week!$A$2:$ZZ$1000, 0, MATCH(TRIM(CLEAN(B68)), Sum_week!$A$1:$ZZ$1, 0))), "")</f>
        <v/>
      </c>
      <c r="H68" s="101"/>
      <c r="I68" s="81" t="str">
        <f>IFERROR(INDEX(Sum_day!$A$2:$ZZ$2, 1, MATCH(TRIM(CLEAN(B68)), Sum_day!$A$1:$ZZ$1, 0)), "")</f>
        <v/>
      </c>
      <c r="J68" s="81" t="str">
        <f>IFERROR(INDEX(Sum_day!$A$3:$ZZ$3, 1, MATCH(TRIM(CLEAN(B68)), Sum_day!$A$1:$ZZ$1, 0)), "")</f>
        <v/>
      </c>
      <c r="K68" s="81" t="str">
        <f>IFERROR(INDEX(Sum_day!$A$4:$ZZ$4, 1, MATCH(TRIM(CLEAN(B68)), Sum_day!$A$1:$ZZ$1, 0)), "")</f>
        <v/>
      </c>
      <c r="L68" s="81" t="str">
        <f>IFERROR(INDEX(Sum_day!$A$5:$ZZ$5, 1, MATCH(TRIM(CLEAN(B68)), Sum_day!$A$1:$ZZ$1, 0)), "")</f>
        <v/>
      </c>
      <c r="M68" s="81" t="str">
        <f>IFERROR(INDEX(Sum_day!$A$6:$ZZ$6, 1, MATCH(TRIM(CLEAN(B68)), Sum_day!$A$1:$ZZ$1, 0)), "")</f>
        <v/>
      </c>
      <c r="N68" s="81" t="str">
        <f>IFERROR(INDEX(Sum_day!$A$7:$ZZ$7, 1, MATCH(TRIM(CLEAN(B68)), Sum_day!$A$1:$ZZ$1, 0)), "")</f>
        <v/>
      </c>
      <c r="O68" s="151" t="str">
        <f>IFERROR(INDEX(Sum_day!$A$8:$ZZ$8, 1, MATCH(TRIM(CLEAN(B68)), Sum_day!$A$1:$ZZ$1, 0)), "")</f>
        <v/>
      </c>
    </row>
    <row r="69" spans="1:15">
      <c r="A69" s="103" t="s">
        <v>318</v>
      </c>
      <c r="B69" s="132" t="s">
        <v>215</v>
      </c>
      <c r="C69" s="94" t="s">
        <v>327</v>
      </c>
      <c r="D69" s="94" t="s">
        <v>259</v>
      </c>
      <c r="E69" s="107"/>
      <c r="F69" s="107"/>
      <c r="G69" s="75" t="str">
        <f>IFERROR(SUM(INDEX(Sum_week!$A$2:$ZZ$1000, 0, MATCH(TRIM(CLEAN(A69)), Sum_week!$A$1:$ZZ$1, 0))), "")</f>
        <v/>
      </c>
      <c r="H69" s="101"/>
      <c r="I69" s="81" t="str">
        <f>IFERROR(INDEX(Sum_day!$A$2:$ZZ$2, 1, MATCH(TRIM(CLEAN(A69)), Sum_day!$A$1:$ZZ$1, 0)), "")</f>
        <v/>
      </c>
      <c r="J69" s="81" t="str">
        <f>IFERROR(INDEX(Sum_day!$A$3:$ZZ$3, 1, MATCH(TRIM(CLEAN(A69)), Sum_day!$A$1:$ZZ$1, 0)), "")</f>
        <v/>
      </c>
      <c r="K69" s="81" t="str">
        <f>IFERROR(INDEX(Sum_day!$A$4:$ZZ$4, 1, MATCH(TRIM(CLEAN(A69)), Sum_day!$A$1:$ZZ$1, 0)), "")</f>
        <v/>
      </c>
      <c r="L69" s="81" t="str">
        <f>IFERROR(INDEX(Sum_day!$A$5:$ZZ$5, 1, MATCH(TRIM(CLEAN(A69)), Sum_day!$A$1:$ZZ$1, 0)), "")</f>
        <v/>
      </c>
      <c r="M69" s="81" t="str">
        <f>IFERROR(INDEX(Sum_day!$A$6:$ZZ$6, 1, MATCH(TRIM(CLEAN(A69)), Sum_day!$A$1:$ZZ$1, 0)), "")</f>
        <v/>
      </c>
      <c r="N69" s="81" t="str">
        <f>IFERROR(INDEX(Sum_day!$A$7:$ZZ$7, 1, MATCH(TRIM(CLEAN(A69)), Sum_day!$A$1:$ZZ$1, 0)), "")</f>
        <v/>
      </c>
      <c r="O69" s="151" t="str">
        <f>IFERROR(INDEX(Sum_day!$A$8:$ZZ$8, 1, MATCH(TRIM(CLEAN(A69)), Sum_day!$A$1:$ZZ$1, 0)), "")</f>
        <v/>
      </c>
    </row>
    <row r="70" spans="1:15">
      <c r="B70" s="132" t="s">
        <v>16</v>
      </c>
      <c r="C70" s="94" t="s">
        <v>327</v>
      </c>
      <c r="D70" s="94" t="s">
        <v>259</v>
      </c>
      <c r="E70" s="107"/>
      <c r="F70" s="107"/>
      <c r="G70" s="75" t="str">
        <f>IFERROR(SUM(INDEX(Sum_week!$A$2:$ZZ$1000, 0, MATCH(TRIM(CLEAN(B70)), Sum_week!$A$1:$ZZ$1, 0))), "")</f>
        <v/>
      </c>
      <c r="H70" s="101"/>
      <c r="I70" s="81" t="str">
        <f>IFERROR(INDEX(Sum_day!$A$2:$ZZ$2, 1, MATCH(TRIM(CLEAN(B70)), Sum_day!$A$1:$ZZ$1, 0)), "")</f>
        <v/>
      </c>
      <c r="J70" s="81" t="str">
        <f>IFERROR(INDEX(Sum_day!$A$3:$ZZ$3, 1, MATCH(TRIM(CLEAN(B70)), Sum_day!$A$1:$ZZ$1, 0)), "")</f>
        <v/>
      </c>
      <c r="K70" s="81" t="str">
        <f>IFERROR(INDEX(Sum_day!$A$4:$ZZ$4, 1, MATCH(TRIM(CLEAN(B70)), Sum_day!$A$1:$ZZ$1, 0)), "")</f>
        <v/>
      </c>
      <c r="L70" s="81" t="str">
        <f>IFERROR(INDEX(Sum_day!$A$5:$ZZ$5, 1, MATCH(TRIM(CLEAN(B70)), Sum_day!$A$1:$ZZ$1, 0)), "")</f>
        <v/>
      </c>
      <c r="M70" s="81" t="str">
        <f>IFERROR(INDEX(Sum_day!$A$6:$ZZ$6, 1, MATCH(TRIM(CLEAN(B70)), Sum_day!$A$1:$ZZ$1, 0)), "")</f>
        <v/>
      </c>
      <c r="N70" s="81" t="str">
        <f>IFERROR(INDEX(Sum_day!$A$7:$ZZ$7, 1, MATCH(TRIM(CLEAN(B70)), Sum_day!$A$1:$ZZ$1, 0)), "")</f>
        <v/>
      </c>
      <c r="O70" s="151" t="str">
        <f>IFERROR(INDEX(Sum_day!$A$8:$ZZ$8, 1, MATCH(TRIM(CLEAN(B70)), Sum_day!$A$1:$ZZ$1, 0)), "")</f>
        <v/>
      </c>
    </row>
    <row r="71" spans="1:15">
      <c r="B71" s="145" t="s">
        <v>289</v>
      </c>
      <c r="C71" s="94" t="s">
        <v>327</v>
      </c>
      <c r="D71" s="94" t="s">
        <v>259</v>
      </c>
      <c r="E71" s="146"/>
      <c r="F71" s="148"/>
      <c r="G71" s="75" t="str">
        <f>IFERROR(SUM(INDEX(Sum_week!$A$2:$ZZ$1000, 0, MATCH(TRIM(CLEAN(B71)), Sum_week!$A$1:$ZZ$1, 0)))/1000, "")</f>
        <v/>
      </c>
      <c r="H71" s="149"/>
      <c r="I71" s="147" t="str">
        <f>IFERROR(INDEX(Sum_day!$A$2:$ZZ$2, 1, MATCH(TRIM(CLEAN(B71)), Sum_day!$A$1:$ZZ$1, 0))/1000, "")</f>
        <v/>
      </c>
      <c r="J71" s="147" t="str">
        <f>IFERROR(INDEX(Sum_day!$A$3:$ZZ$3, 1, MATCH(TRIM(CLEAN(B71)), Sum_day!$A$1:$ZZ$1, 0))/1000, "")</f>
        <v/>
      </c>
      <c r="K71" s="147" t="str">
        <f>IFERROR(INDEX(Sum_day!$A$4:$ZZ$4, 1, MATCH(TRIM(CLEAN(B71)), Sum_day!$A$1:$ZZ$1, 0))/1000, "")</f>
        <v/>
      </c>
      <c r="L71" s="147" t="str">
        <f>IFERROR(INDEX(Sum_day!$A$5:$ZZ$5, 1, MATCH(TRIM(CLEAN(B71)), Sum_day!$A$1:$ZZ$1, 0))/1000, "")</f>
        <v/>
      </c>
      <c r="M71" s="147" t="str">
        <f>IFERROR(INDEX(Sum_day!$A$6:$ZZ$6, 1, MATCH(TRIM(CLEAN(B71)), Sum_day!$A$1:$ZZ$1, 0))/1000, "")</f>
        <v/>
      </c>
      <c r="N71" s="147" t="str">
        <f>IFERROR(INDEX(Sum_day!$A$7:$ZZ$7, 1, MATCH(TRIM(CLEAN(B71)), Sum_day!$A$1:$ZZ$1, 0))/1000, "")</f>
        <v/>
      </c>
      <c r="O71" s="152" t="str">
        <f>IFERROR(INDEX(Sum_day!$A$8:$ZZ$8, 1, MATCH(TRIM(CLEAN(B71)), Sum_day!$A$1:$ZZ$1, 0))/1000, "")</f>
        <v/>
      </c>
    </row>
    <row r="72" spans="1:15" ht="15">
      <c r="B72" s="168" t="s">
        <v>261</v>
      </c>
      <c r="C72" s="169"/>
      <c r="D72" s="169"/>
      <c r="E72" s="169"/>
      <c r="F72" s="169"/>
      <c r="G72" s="169"/>
      <c r="H72" s="170"/>
      <c r="I72" s="162" t="s">
        <v>262</v>
      </c>
      <c r="J72" s="163"/>
      <c r="K72" s="163"/>
      <c r="L72" s="163"/>
      <c r="M72" s="163"/>
      <c r="N72" s="163"/>
      <c r="O72" s="164"/>
    </row>
    <row r="73" spans="1:15">
      <c r="B73" s="131" t="s">
        <v>269</v>
      </c>
      <c r="C73" s="93" t="s">
        <v>267</v>
      </c>
      <c r="D73" s="93" t="s">
        <v>260</v>
      </c>
      <c r="E73" s="96"/>
      <c r="F73" s="96"/>
      <c r="G73" s="77" t="str">
        <f>IFERROR(100*G69/G68, "")</f>
        <v/>
      </c>
      <c r="H73" s="96"/>
      <c r="I73" s="82" t="str">
        <f t="shared" ref="I73:O73" si="20">IFERROR(100*I69/I68,"")</f>
        <v/>
      </c>
      <c r="J73" s="82" t="str">
        <f t="shared" si="20"/>
        <v/>
      </c>
      <c r="K73" s="82" t="str">
        <f t="shared" si="20"/>
        <v/>
      </c>
      <c r="L73" s="82" t="str">
        <f t="shared" si="20"/>
        <v/>
      </c>
      <c r="M73" s="82" t="str">
        <f t="shared" si="20"/>
        <v/>
      </c>
      <c r="N73" s="82" t="str">
        <f t="shared" si="20"/>
        <v/>
      </c>
      <c r="O73" s="133" t="str">
        <f t="shared" si="20"/>
        <v/>
      </c>
    </row>
    <row r="74" spans="1:15">
      <c r="B74" s="132" t="s">
        <v>270</v>
      </c>
      <c r="C74" s="94" t="s">
        <v>268</v>
      </c>
      <c r="D74" s="94" t="s">
        <v>260</v>
      </c>
      <c r="E74" s="97"/>
      <c r="F74" s="97"/>
      <c r="G74" s="109" t="str">
        <f>IFERROR(G70/G64, "")</f>
        <v/>
      </c>
      <c r="H74" s="97"/>
      <c r="I74" s="79" t="str">
        <f t="shared" ref="I74:O74" si="21">IFERROR(I70/I64,"")</f>
        <v/>
      </c>
      <c r="J74" s="79" t="str">
        <f t="shared" si="21"/>
        <v/>
      </c>
      <c r="K74" s="79" t="str">
        <f t="shared" si="21"/>
        <v/>
      </c>
      <c r="L74" s="79" t="str">
        <f t="shared" si="21"/>
        <v/>
      </c>
      <c r="M74" s="79" t="str">
        <f t="shared" si="21"/>
        <v/>
      </c>
      <c r="N74" s="79" t="str">
        <f t="shared" si="21"/>
        <v/>
      </c>
      <c r="O74" s="130" t="str">
        <f t="shared" si="21"/>
        <v/>
      </c>
    </row>
    <row r="75" spans="1:15">
      <c r="B75" s="132" t="s">
        <v>285</v>
      </c>
      <c r="C75" s="108" t="s">
        <v>268</v>
      </c>
      <c r="D75" s="94" t="s">
        <v>260</v>
      </c>
      <c r="E75" s="97"/>
      <c r="F75" s="97"/>
      <c r="G75" s="109" t="str">
        <f>IFERROR(G71/G64, "")</f>
        <v/>
      </c>
      <c r="H75" s="97"/>
      <c r="I75" s="79" t="str">
        <f t="shared" ref="I75:O75" si="22">IFERROR(I71/I64,"")</f>
        <v/>
      </c>
      <c r="J75" s="79" t="str">
        <f t="shared" si="22"/>
        <v/>
      </c>
      <c r="K75" s="79" t="str">
        <f t="shared" si="22"/>
        <v/>
      </c>
      <c r="L75" s="79" t="str">
        <f t="shared" si="22"/>
        <v/>
      </c>
      <c r="M75" s="79" t="str">
        <f t="shared" si="22"/>
        <v/>
      </c>
      <c r="N75" s="79" t="str">
        <f t="shared" si="22"/>
        <v/>
      </c>
      <c r="O75" s="130" t="str">
        <f t="shared" si="22"/>
        <v/>
      </c>
    </row>
    <row r="76" spans="1:15">
      <c r="B76" s="132" t="s">
        <v>271</v>
      </c>
      <c r="C76" s="94" t="s">
        <v>267</v>
      </c>
      <c r="D76" s="94" t="s">
        <v>260</v>
      </c>
      <c r="E76" s="97"/>
      <c r="F76" s="97"/>
      <c r="G76" s="77" t="str">
        <f>IFERROR(100*(G69+G70)/(G64+G68), "")</f>
        <v/>
      </c>
      <c r="H76" s="97"/>
      <c r="I76" s="83" t="str">
        <f>IFERROR(100*(I69+I70)/(I64+I68),"")</f>
        <v/>
      </c>
      <c r="J76" s="83" t="str">
        <f t="shared" ref="J76:O76" si="23">IFERROR(100*(J69+J70)/(J64+J68),"")</f>
        <v/>
      </c>
      <c r="K76" s="83" t="str">
        <f t="shared" si="23"/>
        <v/>
      </c>
      <c r="L76" s="83" t="str">
        <f t="shared" si="23"/>
        <v/>
      </c>
      <c r="M76" s="83" t="str">
        <f t="shared" si="23"/>
        <v/>
      </c>
      <c r="N76" s="83" t="str">
        <f t="shared" si="23"/>
        <v/>
      </c>
      <c r="O76" s="134" t="str">
        <f t="shared" si="23"/>
        <v/>
      </c>
    </row>
    <row r="77" spans="1:15" ht="15" thickBot="1">
      <c r="B77" s="135" t="s">
        <v>272</v>
      </c>
      <c r="C77" s="136" t="s">
        <v>267</v>
      </c>
      <c r="D77" s="136" t="s">
        <v>260</v>
      </c>
      <c r="E77" s="137"/>
      <c r="F77" s="137"/>
      <c r="G77" s="138" t="str">
        <f>IFERROR(100*SUM(G65:G67)/(G68+G64), "")</f>
        <v/>
      </c>
      <c r="H77" s="137"/>
      <c r="I77" s="139" t="str">
        <f t="shared" ref="I77:O77" si="24">IFERROR(100*SUM(I65:I67)/(I68+I64), "")</f>
        <v/>
      </c>
      <c r="J77" s="139" t="str">
        <f t="shared" si="24"/>
        <v/>
      </c>
      <c r="K77" s="139" t="str">
        <f t="shared" si="24"/>
        <v/>
      </c>
      <c r="L77" s="139" t="str">
        <f t="shared" si="24"/>
        <v/>
      </c>
      <c r="M77" s="139" t="str">
        <f t="shared" si="24"/>
        <v/>
      </c>
      <c r="N77" s="139" t="str">
        <f t="shared" si="24"/>
        <v/>
      </c>
      <c r="O77" s="140" t="str">
        <f t="shared" si="24"/>
        <v/>
      </c>
    </row>
    <row r="78" spans="1:15" ht="15" thickTop="1"/>
  </sheetData>
  <mergeCells count="5">
    <mergeCell ref="I72:O72"/>
    <mergeCell ref="I2:O2"/>
    <mergeCell ref="I57:O57"/>
    <mergeCell ref="B57:H57"/>
    <mergeCell ref="B72:H72"/>
  </mergeCells>
  <pageMargins left="0.7" right="0.7" top="0.75" bottom="0.75" header="0.3" footer="0.3"/>
  <ignoredErrors>
    <ignoredError sqref="I69 G69 J69:O6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N41"/>
  <sheetViews>
    <sheetView workbookViewId="0">
      <selection activeCell="D12" sqref="D12"/>
    </sheetView>
  </sheetViews>
  <sheetFormatPr defaultRowHeight="14.25"/>
  <cols>
    <col min="35" max="35" width="3.875" customWidth="1"/>
  </cols>
  <sheetData>
    <row r="1" spans="1:40" ht="15">
      <c r="A1" s="171" t="s">
        <v>18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3"/>
      <c r="AJ1" s="180" t="s">
        <v>22</v>
      </c>
      <c r="AK1" s="180"/>
      <c r="AL1" s="180"/>
      <c r="AM1" s="180"/>
      <c r="AN1" s="180"/>
    </row>
    <row r="2" spans="1:40">
      <c r="A2" s="2" t="s">
        <v>19</v>
      </c>
      <c r="B2" s="174" t="s">
        <v>20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  <c r="X2" s="175"/>
      <c r="Y2" s="175"/>
      <c r="Z2" s="175"/>
      <c r="AA2" s="175"/>
      <c r="AB2" s="175"/>
      <c r="AC2" s="175"/>
      <c r="AD2" s="175"/>
      <c r="AE2" s="175"/>
      <c r="AF2" s="175"/>
      <c r="AG2" s="175"/>
      <c r="AH2" s="176"/>
      <c r="AJ2" s="20" t="s">
        <v>19</v>
      </c>
      <c r="AK2" s="177" t="s">
        <v>20</v>
      </c>
      <c r="AL2" s="178"/>
      <c r="AM2" s="178"/>
      <c r="AN2" s="179"/>
    </row>
    <row r="3" spans="1:40" ht="15">
      <c r="A3" s="3"/>
      <c r="B3" s="4">
        <v>0</v>
      </c>
      <c r="C3" s="5">
        <v>5</v>
      </c>
      <c r="D3" s="5">
        <v>10</v>
      </c>
      <c r="E3" s="5">
        <v>15</v>
      </c>
      <c r="F3" s="5">
        <v>20</v>
      </c>
      <c r="G3" s="5">
        <v>25</v>
      </c>
      <c r="H3" s="5">
        <v>30</v>
      </c>
      <c r="I3" s="5">
        <v>35</v>
      </c>
      <c r="J3" s="5">
        <v>40</v>
      </c>
      <c r="K3" s="5">
        <v>45</v>
      </c>
      <c r="L3" s="5">
        <v>50</v>
      </c>
      <c r="M3" s="5">
        <v>55</v>
      </c>
      <c r="N3" s="5">
        <v>60</v>
      </c>
      <c r="O3" s="5">
        <v>65</v>
      </c>
      <c r="P3" s="5">
        <v>70</v>
      </c>
      <c r="Q3" s="5">
        <v>75</v>
      </c>
      <c r="R3" s="5">
        <v>80</v>
      </c>
      <c r="S3" s="5">
        <v>85</v>
      </c>
      <c r="T3" s="5">
        <v>90</v>
      </c>
      <c r="U3" s="5">
        <v>95</v>
      </c>
      <c r="V3" s="5">
        <v>100</v>
      </c>
      <c r="W3" s="5">
        <v>105</v>
      </c>
      <c r="X3" s="5">
        <v>110</v>
      </c>
      <c r="Y3" s="5">
        <v>115</v>
      </c>
      <c r="Z3" s="5">
        <v>120</v>
      </c>
      <c r="AA3" s="5">
        <v>125</v>
      </c>
      <c r="AB3" s="5">
        <v>130</v>
      </c>
      <c r="AC3" s="5">
        <v>135</v>
      </c>
      <c r="AD3" s="5">
        <v>140</v>
      </c>
      <c r="AE3" s="5">
        <v>145</v>
      </c>
      <c r="AF3" s="5">
        <v>150</v>
      </c>
      <c r="AG3" s="5">
        <v>155</v>
      </c>
      <c r="AH3" s="6">
        <v>160</v>
      </c>
      <c r="AJ3" s="21"/>
      <c r="AK3" s="5">
        <v>1</v>
      </c>
      <c r="AL3" s="5">
        <v>10</v>
      </c>
      <c r="AM3" s="5">
        <v>20</v>
      </c>
      <c r="AN3" s="6">
        <v>30</v>
      </c>
    </row>
    <row r="4" spans="1:40" ht="15">
      <c r="A4" s="7">
        <v>1</v>
      </c>
      <c r="B4" s="8">
        <v>1.3301833760237969E-2</v>
      </c>
      <c r="C4" s="9">
        <v>9.4422095692510766</v>
      </c>
      <c r="D4" s="9">
        <v>18.912677246734063</v>
      </c>
      <c r="E4" s="9">
        <v>28.424326674041083</v>
      </c>
      <c r="F4" s="9">
        <v>37.980094580556113</v>
      </c>
      <c r="G4" s="9">
        <v>47.581310878747274</v>
      </c>
      <c r="H4" s="9">
        <v>57.229170907040441</v>
      </c>
      <c r="I4" s="9">
        <v>66.923063207032953</v>
      </c>
      <c r="J4" s="9">
        <v>76.667568011022865</v>
      </c>
      <c r="K4" s="9">
        <v>86.460339031650335</v>
      </c>
      <c r="L4" s="9">
        <v>96.304222242252365</v>
      </c>
      <c r="M4" s="9">
        <v>106.20025923961185</v>
      </c>
      <c r="N4" s="9">
        <v>116.14758741255076</v>
      </c>
      <c r="O4" s="9">
        <v>126.15083964208571</v>
      </c>
      <c r="P4" s="9">
        <v>136.20742490547099</v>
      </c>
      <c r="Q4" s="9">
        <v>146.3200448444324</v>
      </c>
      <c r="R4" s="9">
        <v>156.48960030648658</v>
      </c>
      <c r="S4" s="9">
        <v>166.71686371651509</v>
      </c>
      <c r="T4" s="9">
        <v>177.00288567634578</v>
      </c>
      <c r="U4" s="9">
        <v>187.34828446107809</v>
      </c>
      <c r="V4" s="9">
        <v>197.75218514611839</v>
      </c>
      <c r="W4" s="9">
        <v>208.21890221456277</v>
      </c>
      <c r="X4" s="9">
        <v>218.74563674484301</v>
      </c>
      <c r="Y4" s="9">
        <v>229.33655132559358</v>
      </c>
      <c r="Z4" s="9">
        <v>239.98900138338053</v>
      </c>
      <c r="AA4" s="9">
        <v>250.7053290007712</v>
      </c>
      <c r="AB4" s="9">
        <v>261.48608068607672</v>
      </c>
      <c r="AC4" s="9">
        <v>272.33198237889877</v>
      </c>
      <c r="AD4" s="9">
        <v>283.2437367747678</v>
      </c>
      <c r="AE4" s="9">
        <v>294.22171929695293</v>
      </c>
      <c r="AF4" s="9">
        <v>305.26658709387488</v>
      </c>
      <c r="AG4" s="9">
        <v>314.54681645696809</v>
      </c>
      <c r="AH4" s="10">
        <v>323.48791839934842</v>
      </c>
      <c r="AJ4" s="7">
        <v>1</v>
      </c>
      <c r="AK4" s="22">
        <v>0.99789987554538406</v>
      </c>
      <c r="AL4" s="23">
        <v>0.99814969028983958</v>
      </c>
      <c r="AM4" s="23">
        <v>0.998392567867464</v>
      </c>
      <c r="AN4" s="24">
        <v>0.99860356455650601</v>
      </c>
    </row>
    <row r="5" spans="1:40" ht="15">
      <c r="A5" s="7">
        <v>5</v>
      </c>
      <c r="B5" s="11">
        <v>-3.8321065213240217</v>
      </c>
      <c r="C5" s="12">
        <v>5.7247171864887036</v>
      </c>
      <c r="D5" s="12">
        <v>15.318569874119305</v>
      </c>
      <c r="E5" s="12">
        <v>24.95156062065945</v>
      </c>
      <c r="F5" s="12">
        <v>34.616170154538679</v>
      </c>
      <c r="G5" s="12">
        <v>44.331445729229074</v>
      </c>
      <c r="H5" s="12">
        <v>54.072215492082762</v>
      </c>
      <c r="I5" s="12">
        <v>63.866950552342985</v>
      </c>
      <c r="J5" s="12">
        <v>73.707413272953033</v>
      </c>
      <c r="K5" s="12">
        <v>83.586905614278464</v>
      </c>
      <c r="L5" s="12">
        <v>93.514637477651888</v>
      </c>
      <c r="M5" s="12">
        <v>103.49179461501177</v>
      </c>
      <c r="N5" s="12">
        <v>113.52055493930851</v>
      </c>
      <c r="O5" s="12">
        <v>123.60099152853689</v>
      </c>
      <c r="P5" s="12">
        <v>133.72571347277045</v>
      </c>
      <c r="Q5" s="12">
        <v>143.90473953335203</v>
      </c>
      <c r="R5" s="12">
        <v>154.14803348141146</v>
      </c>
      <c r="S5" s="12">
        <v>164.43862138093044</v>
      </c>
      <c r="T5" s="12">
        <v>174.78589126777507</v>
      </c>
      <c r="U5" s="12">
        <v>185.19177053685945</v>
      </c>
      <c r="V5" s="12">
        <v>195.64714937121636</v>
      </c>
      <c r="W5" s="12">
        <v>206.17128332920862</v>
      </c>
      <c r="X5" s="12">
        <v>216.75602682834568</v>
      </c>
      <c r="Y5" s="12">
        <v>227.39321967226914</v>
      </c>
      <c r="Z5" s="12">
        <v>238.10149560049905</v>
      </c>
      <c r="AA5" s="12">
        <v>248.86318952269727</v>
      </c>
      <c r="AB5" s="12">
        <v>259.68896217989203</v>
      </c>
      <c r="AC5" s="12">
        <v>270.57845892490451</v>
      </c>
      <c r="AD5" s="12">
        <v>281.53334765461142</v>
      </c>
      <c r="AE5" s="12">
        <v>292.55322309243928</v>
      </c>
      <c r="AF5" s="12">
        <v>303.63919057159632</v>
      </c>
      <c r="AG5" s="12">
        <v>314.79233022051852</v>
      </c>
      <c r="AH5" s="13">
        <v>326.01216416394874</v>
      </c>
      <c r="AJ5" s="7">
        <v>5</v>
      </c>
      <c r="AK5" s="25">
        <v>0.98949937772692054</v>
      </c>
      <c r="AL5" s="26">
        <v>0.99074845144919776</v>
      </c>
      <c r="AM5" s="26">
        <v>0.99196283933732021</v>
      </c>
      <c r="AN5" s="27">
        <v>0.99301782278253026</v>
      </c>
    </row>
    <row r="6" spans="1:40" ht="15">
      <c r="A6" s="7">
        <v>10</v>
      </c>
      <c r="B6" s="11">
        <v>-8.6891263731945401</v>
      </c>
      <c r="C6" s="12">
        <v>1.0401891876092009</v>
      </c>
      <c r="D6" s="12">
        <v>10.781814596247898</v>
      </c>
      <c r="E6" s="12">
        <v>20.574980266064188</v>
      </c>
      <c r="F6" s="12">
        <v>30.386568934202785</v>
      </c>
      <c r="G6" s="12">
        <v>40.234826024085294</v>
      </c>
      <c r="H6" s="12">
        <v>50.104092771091189</v>
      </c>
      <c r="I6" s="12">
        <v>60.031863232789931</v>
      </c>
      <c r="J6" s="12">
        <v>69.983911050383028</v>
      </c>
      <c r="K6" s="12">
        <v>79.980174481610277</v>
      </c>
      <c r="L6" s="12">
        <v>90.022086596125689</v>
      </c>
      <c r="M6" s="12">
        <v>100.09166774027148</v>
      </c>
      <c r="N6" s="12">
        <v>110.22792154867551</v>
      </c>
      <c r="O6" s="12">
        <v>120.3955361130657</v>
      </c>
      <c r="P6" s="12">
        <v>130.61402766530915</v>
      </c>
      <c r="Q6" s="12">
        <v>140.88351729972027</v>
      </c>
      <c r="R6" s="12">
        <v>151.20722627248841</v>
      </c>
      <c r="S6" s="12">
        <v>161.58414187570003</v>
      </c>
      <c r="T6" s="12">
        <v>172.01635236450846</v>
      </c>
      <c r="U6" s="12">
        <v>182.48671666379477</v>
      </c>
      <c r="V6" s="12">
        <v>193.03249791878858</v>
      </c>
      <c r="W6" s="12">
        <v>203.61835234568849</v>
      </c>
      <c r="X6" s="12">
        <v>214.26331128897044</v>
      </c>
      <c r="Y6" s="12">
        <v>224.96719114230797</v>
      </c>
      <c r="Z6" s="12">
        <v>235.73185447955512</v>
      </c>
      <c r="AA6" s="12">
        <v>246.55912821907299</v>
      </c>
      <c r="AB6" s="12">
        <v>257.44769637091173</v>
      </c>
      <c r="AC6" s="12">
        <v>268.39932528046569</v>
      </c>
      <c r="AD6" s="12">
        <v>279.41471397371771</v>
      </c>
      <c r="AE6" s="12">
        <v>290.47651684348028</v>
      </c>
      <c r="AF6" s="12">
        <v>301.62141770181489</v>
      </c>
      <c r="AG6" s="12">
        <v>312.83200535128668</v>
      </c>
      <c r="AH6" s="13">
        <v>324.08984800151785</v>
      </c>
      <c r="AJ6" s="7">
        <v>10</v>
      </c>
      <c r="AK6" s="25">
        <v>0.97899875545384107</v>
      </c>
      <c r="AL6" s="26">
        <v>0.98149690289839542</v>
      </c>
      <c r="AM6" s="26">
        <v>0.98392567867464054</v>
      </c>
      <c r="AN6" s="27">
        <v>0.98603564556506063</v>
      </c>
    </row>
    <row r="7" spans="1:40" ht="15">
      <c r="A7" s="7">
        <v>15</v>
      </c>
      <c r="B7" s="11">
        <v>-13.632683308588128</v>
      </c>
      <c r="C7" s="12">
        <v>-3.7345031330311826</v>
      </c>
      <c r="D7" s="12">
        <v>6.1896546932826482</v>
      </c>
      <c r="E7" s="12">
        <v>16.1405581313482</v>
      </c>
      <c r="F7" s="12">
        <v>26.120517598690469</v>
      </c>
      <c r="G7" s="12">
        <v>36.105015005325129</v>
      </c>
      <c r="H7" s="12">
        <v>46.124604832415741</v>
      </c>
      <c r="I7" s="12">
        <v>56.153026156212206</v>
      </c>
      <c r="J7" s="12">
        <v>66.246937806665244</v>
      </c>
      <c r="K7" s="12">
        <v>76.353403753813552</v>
      </c>
      <c r="L7" s="12">
        <v>86.502266214814483</v>
      </c>
      <c r="M7" s="12">
        <v>96.69510211066455</v>
      </c>
      <c r="N7" s="12">
        <v>106.93180910688938</v>
      </c>
      <c r="O7" s="12">
        <v>117.18761745229739</v>
      </c>
      <c r="P7" s="12">
        <v>127.51960732166543</v>
      </c>
      <c r="Q7" s="12">
        <v>137.87348788746993</v>
      </c>
      <c r="R7" s="12">
        <v>148.27834186062006</v>
      </c>
      <c r="S7" s="12">
        <v>158.73378091818489</v>
      </c>
      <c r="T7" s="12">
        <v>169.24414697099752</v>
      </c>
      <c r="U7" s="12">
        <v>179.80736503465545</v>
      </c>
      <c r="V7" s="12">
        <v>190.39855534586246</v>
      </c>
      <c r="W7" s="12">
        <v>201.07383777599983</v>
      </c>
      <c r="X7" s="12">
        <v>211.77915220491963</v>
      </c>
      <c r="Y7" s="12">
        <v>222.56882464170309</v>
      </c>
      <c r="Z7" s="12">
        <v>233.39200363965705</v>
      </c>
      <c r="AA7" s="12">
        <v>244.2738612181335</v>
      </c>
      <c r="AB7" s="12">
        <v>255.2183698052059</v>
      </c>
      <c r="AC7" s="12">
        <v>266.22317159366372</v>
      </c>
      <c r="AD7" s="12">
        <v>277.29059568423457</v>
      </c>
      <c r="AE7" s="12">
        <v>288.4229323920535</v>
      </c>
      <c r="AF7" s="12">
        <v>299.61773761759872</v>
      </c>
      <c r="AG7" s="12">
        <v>310.87724182569076</v>
      </c>
      <c r="AH7" s="13">
        <v>322.17485990303823</v>
      </c>
      <c r="AJ7" s="7">
        <v>15</v>
      </c>
      <c r="AK7" s="25">
        <v>0.96849813318076161</v>
      </c>
      <c r="AL7" s="26">
        <v>0.97224535434759318</v>
      </c>
      <c r="AM7" s="26">
        <v>0.97588851801196075</v>
      </c>
      <c r="AN7" s="27">
        <v>0.97905346834759088</v>
      </c>
    </row>
    <row r="8" spans="1:40" ht="15">
      <c r="A8" s="7">
        <v>20</v>
      </c>
      <c r="B8" s="11">
        <v>-18.645919022427279</v>
      </c>
      <c r="C8" s="12">
        <v>-8.5333030136451953</v>
      </c>
      <c r="D8" s="12">
        <v>1.5592347834364091</v>
      </c>
      <c r="E8" s="12">
        <v>11.671903914389361</v>
      </c>
      <c r="F8" s="12">
        <v>21.80973080620663</v>
      </c>
      <c r="G8" s="12">
        <v>31.934374860261926</v>
      </c>
      <c r="H8" s="12">
        <v>42.089468507586787</v>
      </c>
      <c r="I8" s="12">
        <v>52.277257547373949</v>
      </c>
      <c r="J8" s="12">
        <v>62.497648593327824</v>
      </c>
      <c r="K8" s="12">
        <v>72.716769136139703</v>
      </c>
      <c r="L8" s="12">
        <v>82.974872718391055</v>
      </c>
      <c r="M8" s="12">
        <v>93.273750279441231</v>
      </c>
      <c r="N8" s="12">
        <v>103.61510564702786</v>
      </c>
      <c r="O8" s="12">
        <v>113.9983824462285</v>
      </c>
      <c r="P8" s="12">
        <v>124.38970209750374</v>
      </c>
      <c r="Q8" s="12">
        <v>134.865856751487</v>
      </c>
      <c r="R8" s="12">
        <v>145.35309489794594</v>
      </c>
      <c r="S8" s="12">
        <v>155.88820880366239</v>
      </c>
      <c r="T8" s="12">
        <v>166.47678832179878</v>
      </c>
      <c r="U8" s="12">
        <v>177.11574349403332</v>
      </c>
      <c r="V8" s="12">
        <v>187.80839433863918</v>
      </c>
      <c r="W8" s="12">
        <v>198.5187409174053</v>
      </c>
      <c r="X8" s="12">
        <v>209.32213557427207</v>
      </c>
      <c r="Y8" s="12">
        <v>220.14542303408592</v>
      </c>
      <c r="Z8" s="12">
        <v>231.06150843997585</v>
      </c>
      <c r="AA8" s="12">
        <v>242.00162900807862</v>
      </c>
      <c r="AB8" s="12">
        <v>253.00154352400915</v>
      </c>
      <c r="AC8" s="12">
        <v>264.05998493541466</v>
      </c>
      <c r="AD8" s="12">
        <v>275.17988891383817</v>
      </c>
      <c r="AE8" s="12">
        <v>286.36414370290771</v>
      </c>
      <c r="AF8" s="12">
        <v>297.60926694733058</v>
      </c>
      <c r="AG8" s="12">
        <v>308.91808210375376</v>
      </c>
      <c r="AH8" s="13">
        <v>320.29126648163532</v>
      </c>
      <c r="AJ8" s="7">
        <v>20</v>
      </c>
      <c r="AK8" s="25">
        <v>0.95799751090768204</v>
      </c>
      <c r="AL8" s="26">
        <v>0.96299380579679084</v>
      </c>
      <c r="AM8" s="26">
        <v>0.96785135734928107</v>
      </c>
      <c r="AN8" s="27">
        <v>0.97207129113012114</v>
      </c>
    </row>
    <row r="9" spans="1:40" ht="15">
      <c r="A9" s="7">
        <v>25</v>
      </c>
      <c r="B9" s="11">
        <v>-23.719922758816836</v>
      </c>
      <c r="C9" s="12">
        <v>-13.414614347708721</v>
      </c>
      <c r="D9" s="12">
        <v>-3.1477392505474313</v>
      </c>
      <c r="E9" s="12">
        <v>7.1821010751474432</v>
      </c>
      <c r="F9" s="12">
        <v>17.431209342955583</v>
      </c>
      <c r="G9" s="12">
        <v>27.749572138743986</v>
      </c>
      <c r="H9" s="12">
        <v>38.043773700329382</v>
      </c>
      <c r="I9" s="12">
        <v>48.366081251426806</v>
      </c>
      <c r="J9" s="12">
        <v>58.718930727006352</v>
      </c>
      <c r="K9" s="12">
        <v>69.053238187470981</v>
      </c>
      <c r="L9" s="12">
        <v>79.471327593088006</v>
      </c>
      <c r="M9" s="12">
        <v>89.8782837643584</v>
      </c>
      <c r="N9" s="12">
        <v>100.32179860703815</v>
      </c>
      <c r="O9" s="12">
        <v>110.76136401804848</v>
      </c>
      <c r="P9" s="12">
        <v>121.28908880965838</v>
      </c>
      <c r="Q9" s="12">
        <v>131.81372061975657</v>
      </c>
      <c r="R9" s="12">
        <v>142.42944796101693</v>
      </c>
      <c r="S9" s="12">
        <v>153.04811925576104</v>
      </c>
      <c r="T9" s="12">
        <v>163.71600076237934</v>
      </c>
      <c r="U9" s="12">
        <v>174.43170405108884</v>
      </c>
      <c r="V9" s="12">
        <v>185.19923550331708</v>
      </c>
      <c r="W9" s="12">
        <v>195.97285121007013</v>
      </c>
      <c r="X9" s="12">
        <v>206.84771666807029</v>
      </c>
      <c r="Y9" s="12">
        <v>217.77788495143301</v>
      </c>
      <c r="Z9" s="12">
        <v>228.71771989241182</v>
      </c>
      <c r="AA9" s="12">
        <v>239.71240086750259</v>
      </c>
      <c r="AB9" s="12">
        <v>250.81479701677125</v>
      </c>
      <c r="AC9" s="12">
        <v>261.9273043178344</v>
      </c>
      <c r="AD9" s="12">
        <v>273.10276389898064</v>
      </c>
      <c r="AE9" s="12">
        <v>284.33666335177048</v>
      </c>
      <c r="AF9" s="12">
        <v>295.63247185905647</v>
      </c>
      <c r="AG9" s="12">
        <v>306.99094773142173</v>
      </c>
      <c r="AH9" s="13">
        <v>318.41281429359975</v>
      </c>
      <c r="AJ9" s="7">
        <v>25</v>
      </c>
      <c r="AK9" s="25">
        <v>0.94749688863460257</v>
      </c>
      <c r="AL9" s="26">
        <v>0.9537422572459886</v>
      </c>
      <c r="AM9" s="26">
        <v>0.95981419668660128</v>
      </c>
      <c r="AN9" s="27">
        <v>0.96508911391265151</v>
      </c>
    </row>
    <row r="10" spans="1:40" ht="15">
      <c r="A10" s="7">
        <v>30</v>
      </c>
      <c r="B10" s="11">
        <v>-28.826025054948673</v>
      </c>
      <c r="C10" s="12">
        <v>-18.321029948228784</v>
      </c>
      <c r="D10" s="12">
        <v>-7.8739998315042499</v>
      </c>
      <c r="E10" s="12">
        <v>2.5784025896664389</v>
      </c>
      <c r="F10" s="12">
        <v>13.043579421363518</v>
      </c>
      <c r="G10" s="12">
        <v>23.52500524658484</v>
      </c>
      <c r="H10" s="12">
        <v>33.962086284047075</v>
      </c>
      <c r="I10" s="12">
        <v>44.422404030953487</v>
      </c>
      <c r="J10" s="12">
        <v>54.905256771110601</v>
      </c>
      <c r="K10" s="12">
        <v>65.420216456908804</v>
      </c>
      <c r="L10" s="12">
        <v>75.903682967289171</v>
      </c>
      <c r="M10" s="12">
        <v>86.417649660692803</v>
      </c>
      <c r="N10" s="12">
        <v>96.971099719815754</v>
      </c>
      <c r="O10" s="12">
        <v>107.55923304719209</v>
      </c>
      <c r="P10" s="12">
        <v>118.18737565075998</v>
      </c>
      <c r="Q10" s="12">
        <v>128.79933193297865</v>
      </c>
      <c r="R10" s="12">
        <v>139.51302153563307</v>
      </c>
      <c r="S10" s="12">
        <v>150.21422917947183</v>
      </c>
      <c r="T10" s="12">
        <v>160.95916499139145</v>
      </c>
      <c r="U10" s="12">
        <v>171.75593306544721</v>
      </c>
      <c r="V10" s="12">
        <v>182.5992837398764</v>
      </c>
      <c r="W10" s="12">
        <v>193.49385408856159</v>
      </c>
      <c r="X10" s="12">
        <v>204.38400176084025</v>
      </c>
      <c r="Y10" s="12">
        <v>215.38484649689889</v>
      </c>
      <c r="Z10" s="12">
        <v>226.38384942275439</v>
      </c>
      <c r="AA10" s="12">
        <v>237.49225619887073</v>
      </c>
      <c r="AB10" s="12">
        <v>248.60443574057075</v>
      </c>
      <c r="AC10" s="12">
        <v>259.77474788829551</v>
      </c>
      <c r="AD10" s="12">
        <v>271.00088779351648</v>
      </c>
      <c r="AE10" s="12">
        <v>282.28699444375769</v>
      </c>
      <c r="AF10" s="12">
        <v>293.63714035518859</v>
      </c>
      <c r="AG10" s="12">
        <v>305.04567838260101</v>
      </c>
      <c r="AH10" s="13">
        <v>316.51660973995052</v>
      </c>
      <c r="AJ10" s="7">
        <v>30</v>
      </c>
      <c r="AK10" s="25">
        <v>0.93699626636152311</v>
      </c>
      <c r="AL10" s="26">
        <v>0.94449070869518625</v>
      </c>
      <c r="AM10" s="26">
        <v>0.95177703602392161</v>
      </c>
      <c r="AN10" s="27">
        <v>0.95810693669518177</v>
      </c>
    </row>
    <row r="11" spans="1:40" ht="15">
      <c r="A11" s="7">
        <v>35</v>
      </c>
      <c r="B11" s="11">
        <v>-34.076812966207797</v>
      </c>
      <c r="C11" s="12">
        <v>-23.311711899219745</v>
      </c>
      <c r="D11" s="12">
        <v>-12.626385425783212</v>
      </c>
      <c r="E11" s="12">
        <v>-2.0139921267557384</v>
      </c>
      <c r="F11" s="12">
        <v>8.6732775330273739</v>
      </c>
      <c r="G11" s="12">
        <v>19.297281053360962</v>
      </c>
      <c r="H11" s="12">
        <v>29.859115477568878</v>
      </c>
      <c r="I11" s="12">
        <v>40.514950653578865</v>
      </c>
      <c r="J11" s="12">
        <v>51.112036187375395</v>
      </c>
      <c r="K11" s="12">
        <v>61.737703910104472</v>
      </c>
      <c r="L11" s="12">
        <v>72.386428922451557</v>
      </c>
      <c r="M11" s="12">
        <v>82.995018503268341</v>
      </c>
      <c r="N11" s="12">
        <v>93.636435997232581</v>
      </c>
      <c r="O11" s="12">
        <v>104.38215283752362</v>
      </c>
      <c r="P11" s="12">
        <v>115.09146360669291</v>
      </c>
      <c r="Q11" s="12">
        <v>125.77523473765262</v>
      </c>
      <c r="R11" s="12">
        <v>136.56500516782927</v>
      </c>
      <c r="S11" s="12">
        <v>147.39758298121689</v>
      </c>
      <c r="T11" s="12">
        <v>158.2027670389304</v>
      </c>
      <c r="U11" s="12">
        <v>169.05842527712724</v>
      </c>
      <c r="V11" s="12">
        <v>180.0296376053472</v>
      </c>
      <c r="W11" s="12">
        <v>190.97866356690901</v>
      </c>
      <c r="X11" s="12">
        <v>201.97850468903931</v>
      </c>
      <c r="Y11" s="12">
        <v>212.96732623472502</v>
      </c>
      <c r="Z11" s="12">
        <v>224.07273782958038</v>
      </c>
      <c r="AA11" s="12">
        <v>235.23262234209761</v>
      </c>
      <c r="AB11" s="12">
        <v>246.44425566867784</v>
      </c>
      <c r="AC11" s="12">
        <v>257.65001308890493</v>
      </c>
      <c r="AD11" s="12">
        <v>268.97991270205881</v>
      </c>
      <c r="AE11" s="12">
        <v>280.30232378065404</v>
      </c>
      <c r="AF11" s="12">
        <v>291.68070283283151</v>
      </c>
      <c r="AG11" s="12">
        <v>303.18935336406292</v>
      </c>
      <c r="AH11" s="13">
        <v>314.68969809256208</v>
      </c>
      <c r="AJ11" s="7">
        <v>35</v>
      </c>
      <c r="AK11" s="25">
        <v>0.92649564408844365</v>
      </c>
      <c r="AL11" s="26">
        <v>0.93523916014438402</v>
      </c>
      <c r="AM11" s="26">
        <v>0.94373987536124182</v>
      </c>
      <c r="AN11" s="27">
        <v>0.95112475947771213</v>
      </c>
    </row>
    <row r="12" spans="1:40" ht="15">
      <c r="A12" s="7">
        <v>40</v>
      </c>
      <c r="B12" s="11">
        <v>-39.297355601682114</v>
      </c>
      <c r="C12" s="12">
        <v>-28.369734374070845</v>
      </c>
      <c r="D12" s="12">
        <v>-17.455985955288838</v>
      </c>
      <c r="E12" s="12">
        <v>-6.6417879084791025</v>
      </c>
      <c r="F12" s="12">
        <v>4.1709724665131489</v>
      </c>
      <c r="G12" s="12">
        <v>14.986855720434392</v>
      </c>
      <c r="H12" s="12">
        <v>25.805177062626797</v>
      </c>
      <c r="I12" s="12">
        <v>36.551491272248256</v>
      </c>
      <c r="J12" s="12">
        <v>47.309159437237042</v>
      </c>
      <c r="K12" s="12">
        <v>58.008902178545952</v>
      </c>
      <c r="L12" s="12">
        <v>68.809194303008496</v>
      </c>
      <c r="M12" s="12">
        <v>79.553656661280513</v>
      </c>
      <c r="N12" s="12">
        <v>90.322465049545883</v>
      </c>
      <c r="O12" s="12">
        <v>101.12749807793767</v>
      </c>
      <c r="P12" s="12">
        <v>111.96170823182177</v>
      </c>
      <c r="Q12" s="12">
        <v>122.75229590021678</v>
      </c>
      <c r="R12" s="12">
        <v>133.66103079169574</v>
      </c>
      <c r="S12" s="12">
        <v>144.52623612715621</v>
      </c>
      <c r="T12" s="12">
        <v>155.43855345278797</v>
      </c>
      <c r="U12" s="12">
        <v>166.39055881839028</v>
      </c>
      <c r="V12" s="12">
        <v>177.38843980003656</v>
      </c>
      <c r="W12" s="12">
        <v>188.43373027287754</v>
      </c>
      <c r="X12" s="12">
        <v>199.52788810692761</v>
      </c>
      <c r="Y12" s="12">
        <v>210.59489003773257</v>
      </c>
      <c r="Z12" s="12">
        <v>221.79109731443742</v>
      </c>
      <c r="AA12" s="12">
        <v>232.96314255524925</v>
      </c>
      <c r="AB12" s="12">
        <v>244.26195307417441</v>
      </c>
      <c r="AC12" s="12">
        <v>255.54375551092647</v>
      </c>
      <c r="AD12" s="12">
        <v>266.87774133722377</v>
      </c>
      <c r="AE12" s="12">
        <v>278.27373433891051</v>
      </c>
      <c r="AF12" s="12">
        <v>289.72389662581537</v>
      </c>
      <c r="AG12" s="12">
        <v>301.23354240415364</v>
      </c>
      <c r="AH12" s="13">
        <v>312.80353895841046</v>
      </c>
      <c r="AJ12" s="7">
        <v>40</v>
      </c>
      <c r="AK12" s="25">
        <v>0.91599502181536419</v>
      </c>
      <c r="AL12" s="26">
        <v>0.92598761159358167</v>
      </c>
      <c r="AM12" s="26">
        <v>0.93570271469856214</v>
      </c>
      <c r="AN12" s="27">
        <v>0.94414258226024239</v>
      </c>
    </row>
    <row r="13" spans="1:40" ht="15">
      <c r="A13" s="7">
        <v>45</v>
      </c>
      <c r="B13" s="11">
        <v>-44.647696288927648</v>
      </c>
      <c r="C13" s="12">
        <v>-33.460673309241031</v>
      </c>
      <c r="D13" s="12">
        <v>-22.404974775380026</v>
      </c>
      <c r="E13" s="12">
        <v>-11.265615059763547</v>
      </c>
      <c r="F13" s="12">
        <v>-0.23688184088962316</v>
      </c>
      <c r="G13" s="12">
        <v>10.683911500357453</v>
      </c>
      <c r="H13" s="12">
        <v>21.606693162640568</v>
      </c>
      <c r="I13" s="12">
        <v>32.535757775066315</v>
      </c>
      <c r="J13" s="12">
        <v>43.469553832233998</v>
      </c>
      <c r="K13" s="12">
        <v>54.323125025003662</v>
      </c>
      <c r="L13" s="12">
        <v>65.283768381374728</v>
      </c>
      <c r="M13" s="12">
        <v>76.084553995081876</v>
      </c>
      <c r="N13" s="12">
        <v>86.998509184280977</v>
      </c>
      <c r="O13" s="12">
        <v>97.940153950406341</v>
      </c>
      <c r="P13" s="12">
        <v>108.82061147321298</v>
      </c>
      <c r="Q13" s="12">
        <v>119.82566312679802</v>
      </c>
      <c r="R13" s="12">
        <v>130.76986895428837</v>
      </c>
      <c r="S13" s="12">
        <v>141.75726436181429</v>
      </c>
      <c r="T13" s="12">
        <v>152.77934760452723</v>
      </c>
      <c r="U13" s="12">
        <v>163.75386677848854</v>
      </c>
      <c r="V13" s="12">
        <v>174.86163557891047</v>
      </c>
      <c r="W13" s="12">
        <v>185.9259268043067</v>
      </c>
      <c r="X13" s="12">
        <v>197.12087964893698</v>
      </c>
      <c r="Y13" s="12">
        <v>208.28116029177744</v>
      </c>
      <c r="Z13" s="12">
        <v>219.48663278095427</v>
      </c>
      <c r="AA13" s="12">
        <v>230.74876124573422</v>
      </c>
      <c r="AB13" s="12">
        <v>242.05868080878275</v>
      </c>
      <c r="AC13" s="12">
        <v>253.42264513950607</v>
      </c>
      <c r="AD13" s="12">
        <v>264.84178467830731</v>
      </c>
      <c r="AE13" s="12">
        <v>276.31717511002938</v>
      </c>
      <c r="AF13" s="12">
        <v>287.84983994090823</v>
      </c>
      <c r="AG13" s="12">
        <v>299.35461059887615</v>
      </c>
      <c r="AH13" s="13">
        <v>311.00489263595927</v>
      </c>
      <c r="AJ13" s="7">
        <v>45</v>
      </c>
      <c r="AK13" s="25">
        <v>0.90549439954228461</v>
      </c>
      <c r="AL13" s="26">
        <v>0.91673606304277944</v>
      </c>
      <c r="AM13" s="26">
        <v>0.92766555403588236</v>
      </c>
      <c r="AN13" s="27">
        <v>0.93716040504277265</v>
      </c>
    </row>
    <row r="14" spans="1:40" ht="15">
      <c r="A14" s="7">
        <v>50</v>
      </c>
      <c r="B14" s="11">
        <v>-50.102002108700788</v>
      </c>
      <c r="C14" s="12">
        <v>-38.602147290515177</v>
      </c>
      <c r="D14" s="12">
        <v>-27.255106153030454</v>
      </c>
      <c r="E14" s="12">
        <v>-15.935349046405008</v>
      </c>
      <c r="F14" s="12">
        <v>-4.7613165620234099</v>
      </c>
      <c r="G14" s="12">
        <v>6.407629922321803</v>
      </c>
      <c r="H14" s="12">
        <v>17.45410308023213</v>
      </c>
      <c r="I14" s="12">
        <v>28.610057519622444</v>
      </c>
      <c r="J14" s="12">
        <v>39.661596370819268</v>
      </c>
      <c r="K14" s="12">
        <v>50.609441950856024</v>
      </c>
      <c r="L14" s="12">
        <v>61.67814281337354</v>
      </c>
      <c r="M14" s="12">
        <v>72.658331174925763</v>
      </c>
      <c r="N14" s="12">
        <v>83.75835490465721</v>
      </c>
      <c r="O14" s="12">
        <v>94.679914550173919</v>
      </c>
      <c r="P14" s="12">
        <v>105.72710996820405</v>
      </c>
      <c r="Q14" s="12">
        <v>116.80413021345117</v>
      </c>
      <c r="R14" s="12">
        <v>127.81139401608999</v>
      </c>
      <c r="S14" s="12">
        <v>138.94991250295328</v>
      </c>
      <c r="T14" s="12">
        <v>150.03005499444254</v>
      </c>
      <c r="U14" s="12">
        <v>161.14409347946577</v>
      </c>
      <c r="V14" s="12">
        <v>172.30555706066508</v>
      </c>
      <c r="W14" s="12">
        <v>183.50460908336123</v>
      </c>
      <c r="X14" s="12">
        <v>194.64943666496578</v>
      </c>
      <c r="Y14" s="12">
        <v>205.94060897923811</v>
      </c>
      <c r="Z14" s="12">
        <v>217.27424538670044</v>
      </c>
      <c r="AA14" s="12">
        <v>228.56494092897475</v>
      </c>
      <c r="AB14" s="12">
        <v>239.90722050802543</v>
      </c>
      <c r="AC14" s="12">
        <v>251.3943244165219</v>
      </c>
      <c r="AD14" s="12">
        <v>262.84318384001068</v>
      </c>
      <c r="AE14" s="12">
        <v>274.34160694591702</v>
      </c>
      <c r="AF14" s="12">
        <v>285.89629286016026</v>
      </c>
      <c r="AG14" s="12">
        <v>297.50825914049352</v>
      </c>
      <c r="AH14" s="13">
        <v>309.18402009445339</v>
      </c>
      <c r="AJ14" s="7">
        <v>50</v>
      </c>
      <c r="AK14" s="25">
        <v>0.89499377726920515</v>
      </c>
      <c r="AL14" s="26">
        <v>0.90748451449197709</v>
      </c>
      <c r="AM14" s="26">
        <v>0.91962839337320268</v>
      </c>
      <c r="AN14" s="27">
        <v>0.93017822782530302</v>
      </c>
    </row>
    <row r="15" spans="1:40" ht="15">
      <c r="A15" s="7">
        <v>55</v>
      </c>
      <c r="B15" s="11">
        <v>-55.556225611412628</v>
      </c>
      <c r="C15" s="12">
        <v>-43.767905210394815</v>
      </c>
      <c r="D15" s="12">
        <v>-32.176136626058394</v>
      </c>
      <c r="E15" s="12">
        <v>-20.743050307669876</v>
      </c>
      <c r="F15" s="12">
        <v>-9.3522325981970766</v>
      </c>
      <c r="G15" s="12">
        <v>2.0255077339573972</v>
      </c>
      <c r="H15" s="12">
        <v>13.381543026646625</v>
      </c>
      <c r="I15" s="12">
        <v>24.606886923387094</v>
      </c>
      <c r="J15" s="12">
        <v>35.824084626499427</v>
      </c>
      <c r="K15" s="12">
        <v>46.925152542483431</v>
      </c>
      <c r="L15" s="12">
        <v>58.15475373133205</v>
      </c>
      <c r="M15" s="12">
        <v>69.271408906473823</v>
      </c>
      <c r="N15" s="12">
        <v>80.412042257885048</v>
      </c>
      <c r="O15" s="12">
        <v>91.566250588805303</v>
      </c>
      <c r="P15" s="12">
        <v>102.62867654239852</v>
      </c>
      <c r="Q15" s="12">
        <v>113.83336409653776</v>
      </c>
      <c r="R15" s="12">
        <v>124.94655981631439</v>
      </c>
      <c r="S15" s="12">
        <v>136.09912199957313</v>
      </c>
      <c r="T15" s="12">
        <v>147.28015897150595</v>
      </c>
      <c r="U15" s="12">
        <v>158.49839448689289</v>
      </c>
      <c r="V15" s="12">
        <v>169.75584144497481</v>
      </c>
      <c r="W15" s="12">
        <v>181.05440412683214</v>
      </c>
      <c r="X15" s="12">
        <v>192.28541111008525</v>
      </c>
      <c r="Y15" s="12">
        <v>203.67198199271485</v>
      </c>
      <c r="Z15" s="12">
        <v>214.98886372854366</v>
      </c>
      <c r="AA15" s="12">
        <v>226.3606806892455</v>
      </c>
      <c r="AB15" s="12">
        <v>237.77620188861414</v>
      </c>
      <c r="AC15" s="12">
        <v>249.24933103454799</v>
      </c>
      <c r="AD15" s="12">
        <v>260.8768708418956</v>
      </c>
      <c r="AE15" s="12">
        <v>272.34208012165078</v>
      </c>
      <c r="AF15" s="12">
        <v>283.97030963741992</v>
      </c>
      <c r="AG15" s="12">
        <v>295.65456903792386</v>
      </c>
      <c r="AH15" s="13">
        <v>307.39588537733988</v>
      </c>
      <c r="AJ15" s="7">
        <v>55</v>
      </c>
      <c r="AK15" s="25">
        <v>0.88449315499612569</v>
      </c>
      <c r="AL15" s="26">
        <v>0.89823296594117485</v>
      </c>
      <c r="AM15" s="26">
        <v>0.91159123271052289</v>
      </c>
      <c r="AN15" s="27">
        <v>0.92319605060783327</v>
      </c>
    </row>
    <row r="16" spans="1:40" ht="15">
      <c r="A16" s="7">
        <v>60</v>
      </c>
      <c r="B16" s="11">
        <v>-61.02896751312511</v>
      </c>
      <c r="C16" s="12">
        <v>-49.009879129154626</v>
      </c>
      <c r="D16" s="12">
        <v>-37.200050459726867</v>
      </c>
      <c r="E16" s="12">
        <v>-25.439353883565786</v>
      </c>
      <c r="F16" s="12">
        <v>-13.868514755212345</v>
      </c>
      <c r="G16" s="12">
        <v>-2.3344125192206207</v>
      </c>
      <c r="H16" s="12">
        <v>9.1780498328075737</v>
      </c>
      <c r="I16" s="12">
        <v>20.539154799076243</v>
      </c>
      <c r="J16" s="12">
        <v>31.893421913654322</v>
      </c>
      <c r="K16" s="12">
        <v>43.238043051132593</v>
      </c>
      <c r="L16" s="12">
        <v>54.585514898732356</v>
      </c>
      <c r="M16" s="12">
        <v>65.80943022609182</v>
      </c>
      <c r="N16" s="12">
        <v>77.039053622032782</v>
      </c>
      <c r="O16" s="12">
        <v>88.292986085254768</v>
      </c>
      <c r="P16" s="12">
        <v>99.559492513662065</v>
      </c>
      <c r="Q16" s="12">
        <v>110.84914515526253</v>
      </c>
      <c r="R16" s="12">
        <v>122.03888568836038</v>
      </c>
      <c r="S16" s="12">
        <v>133.37678796468032</v>
      </c>
      <c r="T16" s="12">
        <v>144.62875863365872</v>
      </c>
      <c r="U16" s="12">
        <v>155.9085287892089</v>
      </c>
      <c r="V16" s="12">
        <v>167.22547160745313</v>
      </c>
      <c r="W16" s="12">
        <v>178.58159968648289</v>
      </c>
      <c r="X16" s="12">
        <v>189.97881699504939</v>
      </c>
      <c r="Y16" s="12">
        <v>201.29759105333409</v>
      </c>
      <c r="Z16" s="12">
        <v>212.78282618698512</v>
      </c>
      <c r="AA16" s="12">
        <v>224.19392800714485</v>
      </c>
      <c r="AB16" s="12">
        <v>235.76664374574335</v>
      </c>
      <c r="AC16" s="12">
        <v>247.27605333501737</v>
      </c>
      <c r="AD16" s="12">
        <v>258.82999635756704</v>
      </c>
      <c r="AE16" s="12">
        <v>270.43663577961519</v>
      </c>
      <c r="AF16" s="12">
        <v>282.10397043911649</v>
      </c>
      <c r="AG16" s="12">
        <v>293.81948207142756</v>
      </c>
      <c r="AH16" s="13">
        <v>305.59107738342067</v>
      </c>
      <c r="AJ16" s="7">
        <v>60</v>
      </c>
      <c r="AK16" s="25">
        <v>0.87399253272304622</v>
      </c>
      <c r="AL16" s="26">
        <v>0.88898141739037251</v>
      </c>
      <c r="AM16" s="26">
        <v>0.90355407204784322</v>
      </c>
      <c r="AN16" s="27">
        <v>0.91621387339036353</v>
      </c>
    </row>
    <row r="17" spans="1:40" ht="15">
      <c r="A17" s="7">
        <v>65</v>
      </c>
      <c r="B17" s="11">
        <v>-66.602434139481659</v>
      </c>
      <c r="C17" s="12">
        <v>-54.380018982791512</v>
      </c>
      <c r="D17" s="12">
        <v>-42.233299978679099</v>
      </c>
      <c r="E17" s="12">
        <v>-30.160470849225817</v>
      </c>
      <c r="F17" s="12">
        <v>-18.463974340944276</v>
      </c>
      <c r="G17" s="12">
        <v>-6.6486233502310483</v>
      </c>
      <c r="H17" s="12">
        <v>4.9821045828745127</v>
      </c>
      <c r="I17" s="12">
        <v>16.582622220017754</v>
      </c>
      <c r="J17" s="12">
        <v>28.168018041588823</v>
      </c>
      <c r="K17" s="12">
        <v>39.597049279059149</v>
      </c>
      <c r="L17" s="12">
        <v>51.016348010362947</v>
      </c>
      <c r="M17" s="12">
        <v>62.439047797035812</v>
      </c>
      <c r="N17" s="12">
        <v>73.869324022484705</v>
      </c>
      <c r="O17" s="12">
        <v>85.169606277471814</v>
      </c>
      <c r="P17" s="12">
        <v>96.487259979911471</v>
      </c>
      <c r="Q17" s="12">
        <v>107.81741196587967</v>
      </c>
      <c r="R17" s="12">
        <v>119.17125651544933</v>
      </c>
      <c r="S17" s="12">
        <v>130.5516016675827</v>
      </c>
      <c r="T17" s="12">
        <v>141.96108908172806</v>
      </c>
      <c r="U17" s="12">
        <v>153.26649706846257</v>
      </c>
      <c r="V17" s="12">
        <v>164.74237619494801</v>
      </c>
      <c r="W17" s="12">
        <v>176.11244138318756</v>
      </c>
      <c r="X17" s="12">
        <v>187.52992671343276</v>
      </c>
      <c r="Y17" s="12">
        <v>198.98123251367616</v>
      </c>
      <c r="Z17" s="12">
        <v>210.47587626196508</v>
      </c>
      <c r="AA17" s="12">
        <v>222.01552983961886</v>
      </c>
      <c r="AB17" s="12">
        <v>233.60177822119562</v>
      </c>
      <c r="AC17" s="12">
        <v>245.23612450121772</v>
      </c>
      <c r="AD17" s="12">
        <v>256.91999451029716</v>
      </c>
      <c r="AE17" s="12">
        <v>268.52512172166252</v>
      </c>
      <c r="AF17" s="12">
        <v>280.31249058149086</v>
      </c>
      <c r="AG17" s="12">
        <v>292.01706724577429</v>
      </c>
      <c r="AH17" s="13">
        <v>303.78442917346189</v>
      </c>
      <c r="AJ17" s="7">
        <v>65</v>
      </c>
      <c r="AK17" s="25">
        <v>0.86349191044996676</v>
      </c>
      <c r="AL17" s="26">
        <v>0.87972986883957027</v>
      </c>
      <c r="AM17" s="26">
        <v>0.89551691138516343</v>
      </c>
      <c r="AN17" s="27">
        <v>0.9092316961728939</v>
      </c>
    </row>
    <row r="18" spans="1:40" ht="15">
      <c r="A18" s="7">
        <v>70</v>
      </c>
      <c r="B18" s="11">
        <v>-72.218197151123775</v>
      </c>
      <c r="C18" s="12">
        <v>-59.658186051164591</v>
      </c>
      <c r="D18" s="12">
        <v>-47.201867288986989</v>
      </c>
      <c r="E18" s="12">
        <v>-35.011364022548833</v>
      </c>
      <c r="F18" s="12">
        <v>-22.882626773608933</v>
      </c>
      <c r="G18" s="12">
        <v>-10.975856117883325</v>
      </c>
      <c r="H18" s="12">
        <v>0.88296336750585169</v>
      </c>
      <c r="I18" s="12">
        <v>12.546215897463071</v>
      </c>
      <c r="J18" s="12">
        <v>24.353182789130017</v>
      </c>
      <c r="K18" s="12">
        <v>35.97227093565931</v>
      </c>
      <c r="L18" s="12">
        <v>47.424272990811062</v>
      </c>
      <c r="M18" s="12">
        <v>59.034555250805795</v>
      </c>
      <c r="N18" s="12">
        <v>70.490448113856758</v>
      </c>
      <c r="O18" s="12">
        <v>81.946350849871635</v>
      </c>
      <c r="P18" s="12">
        <v>93.424043658209769</v>
      </c>
      <c r="Q18" s="12">
        <v>104.90917003740088</v>
      </c>
      <c r="R18" s="12">
        <v>116.41397654518818</v>
      </c>
      <c r="S18" s="12">
        <v>127.78293089725247</v>
      </c>
      <c r="T18" s="12">
        <v>139.33724008304347</v>
      </c>
      <c r="U18" s="12">
        <v>150.76335008368363</v>
      </c>
      <c r="V18" s="12">
        <v>162.23074654878843</v>
      </c>
      <c r="W18" s="12">
        <v>173.72463678800528</v>
      </c>
      <c r="X18" s="12">
        <v>185.25569774556885</v>
      </c>
      <c r="Y18" s="12">
        <v>196.82593935856204</v>
      </c>
      <c r="Z18" s="12">
        <v>208.29334824844346</v>
      </c>
      <c r="AA18" s="12">
        <v>219.94824650955667</v>
      </c>
      <c r="AB18" s="12">
        <v>231.49688512919596</v>
      </c>
      <c r="AC18" s="12">
        <v>243.24316801213155</v>
      </c>
      <c r="AD18" s="12">
        <v>254.89573208166649</v>
      </c>
      <c r="AE18" s="12">
        <v>266.59042127374101</v>
      </c>
      <c r="AF18" s="12">
        <v>278.4770263064101</v>
      </c>
      <c r="AG18" s="12">
        <v>290.28370758905186</v>
      </c>
      <c r="AH18" s="13">
        <v>302.13633324601363</v>
      </c>
      <c r="AJ18" s="7">
        <v>70</v>
      </c>
      <c r="AK18" s="25">
        <v>0.8529912881768873</v>
      </c>
      <c r="AL18" s="26">
        <v>0.87047832028876793</v>
      </c>
      <c r="AM18" s="26">
        <v>0.88747975072248364</v>
      </c>
      <c r="AN18" s="27">
        <v>0.90224951895542416</v>
      </c>
    </row>
    <row r="19" spans="1:40" ht="15">
      <c r="A19" s="7">
        <v>75</v>
      </c>
      <c r="B19" s="11">
        <v>-77.808743598190347</v>
      </c>
      <c r="C19" s="12">
        <v>-64.928515998081025</v>
      </c>
      <c r="D19" s="12">
        <v>-52.170686386885563</v>
      </c>
      <c r="E19" s="12">
        <v>-39.712761329692171</v>
      </c>
      <c r="F19" s="12">
        <v>-27.519040978431178</v>
      </c>
      <c r="G19" s="12">
        <v>-15.393568343710399</v>
      </c>
      <c r="H19" s="12">
        <v>-3.3053549331985437</v>
      </c>
      <c r="I19" s="12">
        <v>8.5413200034130341</v>
      </c>
      <c r="J19" s="12">
        <v>20.549743150464565</v>
      </c>
      <c r="K19" s="12">
        <v>32.171127401236106</v>
      </c>
      <c r="L19" s="12">
        <v>43.956263764210519</v>
      </c>
      <c r="M19" s="12">
        <v>55.560687931947371</v>
      </c>
      <c r="N19" s="12">
        <v>67.32514634051887</v>
      </c>
      <c r="O19" s="12">
        <v>78.922296372889662</v>
      </c>
      <c r="P19" s="12">
        <v>90.361190306982792</v>
      </c>
      <c r="Q19" s="12">
        <v>101.98074686128354</v>
      </c>
      <c r="R19" s="12">
        <v>113.61612298643735</v>
      </c>
      <c r="S19" s="12">
        <v>125.10789837947794</v>
      </c>
      <c r="T19" s="12">
        <v>136.61499934517434</v>
      </c>
      <c r="U19" s="12">
        <v>148.14962414871565</v>
      </c>
      <c r="V19" s="12">
        <v>159.72353442022785</v>
      </c>
      <c r="W19" s="12">
        <v>171.32066853726775</v>
      </c>
      <c r="X19" s="12">
        <v>182.95256936778406</v>
      </c>
      <c r="Y19" s="12">
        <v>194.45572960321812</v>
      </c>
      <c r="Z19" s="12">
        <v>206.16438875681951</v>
      </c>
      <c r="AA19" s="12">
        <v>217.75886750094543</v>
      </c>
      <c r="AB19" s="12">
        <v>229.54285296501467</v>
      </c>
      <c r="AC19" s="12">
        <v>241.22656302631202</v>
      </c>
      <c r="AD19" s="12">
        <v>252.9487748720174</v>
      </c>
      <c r="AE19" s="12">
        <v>264.72859195198606</v>
      </c>
      <c r="AF19" s="12">
        <v>276.5498079845533</v>
      </c>
      <c r="AG19" s="12">
        <v>288.42252950101084</v>
      </c>
      <c r="AH19" s="13">
        <v>300.34798924840408</v>
      </c>
      <c r="AJ19" s="7">
        <v>75</v>
      </c>
      <c r="AK19" s="25">
        <v>0.84249066590380783</v>
      </c>
      <c r="AL19" s="26">
        <v>0.86122677173796569</v>
      </c>
      <c r="AM19" s="26">
        <v>0.87944259005980396</v>
      </c>
      <c r="AN19" s="27">
        <v>0.89526734173795441</v>
      </c>
    </row>
    <row r="20" spans="1:40" ht="15">
      <c r="A20" s="14">
        <v>80</v>
      </c>
      <c r="B20" s="15">
        <v>-83.385091154564009</v>
      </c>
      <c r="C20" s="16">
        <v>-70.204359421827974</v>
      </c>
      <c r="D20" s="16">
        <v>-57.164574326706258</v>
      </c>
      <c r="E20" s="16">
        <v>-44.459390242285167</v>
      </c>
      <c r="F20" s="16">
        <v>-32.048615387656582</v>
      </c>
      <c r="G20" s="16">
        <v>-19.717575121328537</v>
      </c>
      <c r="H20" s="16">
        <v>-7.4440459437562936</v>
      </c>
      <c r="I20" s="16">
        <v>4.5845649515309219</v>
      </c>
      <c r="J20" s="16">
        <v>16.772528655523161</v>
      </c>
      <c r="K20" s="16">
        <v>28.53483979180038</v>
      </c>
      <c r="L20" s="16">
        <v>40.470266072721927</v>
      </c>
      <c r="M20" s="16">
        <v>52.193963742063772</v>
      </c>
      <c r="N20" s="16">
        <v>64.107983419495383</v>
      </c>
      <c r="O20" s="16">
        <v>75.825031079809776</v>
      </c>
      <c r="P20" s="16">
        <v>87.366020970373086</v>
      </c>
      <c r="Q20" s="16">
        <v>99.097831487608175</v>
      </c>
      <c r="R20" s="16">
        <v>110.66453577255555</v>
      </c>
      <c r="S20" s="16">
        <v>122.41573268950157</v>
      </c>
      <c r="T20" s="16">
        <v>134.02170981976741</v>
      </c>
      <c r="U20" s="16">
        <v>145.64245835195703</v>
      </c>
      <c r="V20" s="16">
        <v>157.29084204979353</v>
      </c>
      <c r="W20" s="16">
        <v>168.96940866899746</v>
      </c>
      <c r="X20" s="16">
        <v>180.51071839868035</v>
      </c>
      <c r="Y20" s="16">
        <v>192.25775234187739</v>
      </c>
      <c r="Z20" s="16">
        <v>204.04172646681121</v>
      </c>
      <c r="AA20" s="16">
        <v>215.68809312728678</v>
      </c>
      <c r="AB20" s="16">
        <v>227.38674209641005</v>
      </c>
      <c r="AC20" s="16">
        <v>239.28546592246181</v>
      </c>
      <c r="AD20" s="16">
        <v>251.07357943190544</v>
      </c>
      <c r="AE20" s="16">
        <v>262.8997021685812</v>
      </c>
      <c r="AF20" s="16">
        <v>274.77478681533825</v>
      </c>
      <c r="AG20" s="16">
        <v>286.70019039342304</v>
      </c>
      <c r="AH20" s="17">
        <v>298.67720034058215</v>
      </c>
      <c r="AJ20" s="14">
        <v>80</v>
      </c>
      <c r="AK20" s="28">
        <v>0.83199004363072837</v>
      </c>
      <c r="AL20" s="29">
        <v>0.85197522318716334</v>
      </c>
      <c r="AM20" s="29">
        <v>0.87140542939712429</v>
      </c>
      <c r="AN20" s="30">
        <v>0.88828516452048478</v>
      </c>
    </row>
    <row r="21" spans="1:40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J21" s="1"/>
      <c r="AK21" s="1"/>
      <c r="AL21" s="1"/>
      <c r="AM21" s="1"/>
      <c r="AN21" s="1"/>
    </row>
    <row r="22" spans="1:40" ht="15">
      <c r="A22" s="171" t="s">
        <v>21</v>
      </c>
      <c r="B22" s="172"/>
      <c r="C22" s="172"/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72"/>
      <c r="AA22" s="172"/>
      <c r="AB22" s="172"/>
      <c r="AC22" s="172"/>
      <c r="AD22" s="172"/>
      <c r="AE22" s="172"/>
      <c r="AF22" s="172"/>
      <c r="AG22" s="172"/>
      <c r="AH22" s="173"/>
      <c r="AJ22" s="180" t="s">
        <v>23</v>
      </c>
      <c r="AK22" s="180"/>
      <c r="AL22" s="180"/>
      <c r="AM22" s="180"/>
      <c r="AN22" s="180"/>
    </row>
    <row r="23" spans="1:40">
      <c r="A23" s="3" t="s">
        <v>19</v>
      </c>
      <c r="B23" s="177" t="s">
        <v>20</v>
      </c>
      <c r="C23" s="178"/>
      <c r="D23" s="178"/>
      <c r="E23" s="178"/>
      <c r="F23" s="178"/>
      <c r="G23" s="178"/>
      <c r="H23" s="178"/>
      <c r="I23" s="178"/>
      <c r="J23" s="178"/>
      <c r="K23" s="178"/>
      <c r="L23" s="178"/>
      <c r="M23" s="178"/>
      <c r="N23" s="178"/>
      <c r="O23" s="178"/>
      <c r="P23" s="178"/>
      <c r="Q23" s="178"/>
      <c r="R23" s="178"/>
      <c r="S23" s="178"/>
      <c r="T23" s="178"/>
      <c r="U23" s="178"/>
      <c r="V23" s="178"/>
      <c r="W23" s="178"/>
      <c r="X23" s="178"/>
      <c r="Y23" s="178"/>
      <c r="Z23" s="178"/>
      <c r="AA23" s="178"/>
      <c r="AB23" s="178"/>
      <c r="AC23" s="178"/>
      <c r="AD23" s="178"/>
      <c r="AE23" s="178"/>
      <c r="AF23" s="178"/>
      <c r="AG23" s="178"/>
      <c r="AH23" s="179"/>
      <c r="AJ23" s="20" t="s">
        <v>19</v>
      </c>
      <c r="AK23" s="177" t="s">
        <v>20</v>
      </c>
      <c r="AL23" s="178"/>
      <c r="AM23" s="178"/>
      <c r="AN23" s="179"/>
    </row>
    <row r="24" spans="1:40" ht="15">
      <c r="A24" s="3"/>
      <c r="B24" s="18">
        <v>0</v>
      </c>
      <c r="C24" s="19">
        <v>5</v>
      </c>
      <c r="D24" s="19">
        <v>10</v>
      </c>
      <c r="E24" s="19">
        <v>15</v>
      </c>
      <c r="F24" s="19">
        <v>20</v>
      </c>
      <c r="G24" s="19">
        <v>25</v>
      </c>
      <c r="H24" s="19">
        <v>30</v>
      </c>
      <c r="I24" s="19">
        <v>35</v>
      </c>
      <c r="J24" s="19">
        <v>40</v>
      </c>
      <c r="K24" s="19">
        <v>45</v>
      </c>
      <c r="L24" s="19">
        <v>50</v>
      </c>
      <c r="M24" s="19">
        <v>55</v>
      </c>
      <c r="N24" s="19">
        <v>60</v>
      </c>
      <c r="O24" s="19">
        <v>65</v>
      </c>
      <c r="P24" s="19">
        <v>70</v>
      </c>
      <c r="Q24" s="5">
        <v>75</v>
      </c>
      <c r="R24" s="5">
        <v>80</v>
      </c>
      <c r="S24" s="5">
        <v>85</v>
      </c>
      <c r="T24" s="5">
        <v>90</v>
      </c>
      <c r="U24" s="5">
        <v>95</v>
      </c>
      <c r="V24" s="5">
        <v>100</v>
      </c>
      <c r="W24" s="5">
        <v>105</v>
      </c>
      <c r="X24" s="5">
        <v>110</v>
      </c>
      <c r="Y24" s="5">
        <v>115</v>
      </c>
      <c r="Z24" s="5">
        <v>120</v>
      </c>
      <c r="AA24" s="5">
        <v>125</v>
      </c>
      <c r="AB24" s="5">
        <v>130</v>
      </c>
      <c r="AC24" s="5">
        <v>135</v>
      </c>
      <c r="AD24" s="5">
        <v>140</v>
      </c>
      <c r="AE24" s="5">
        <v>145</v>
      </c>
      <c r="AF24" s="5">
        <v>150</v>
      </c>
      <c r="AG24" s="5">
        <v>155</v>
      </c>
      <c r="AH24" s="6">
        <v>160</v>
      </c>
      <c r="AJ24" s="21"/>
      <c r="AK24" s="5">
        <v>1</v>
      </c>
      <c r="AL24" s="5">
        <v>10</v>
      </c>
      <c r="AM24" s="5">
        <v>20</v>
      </c>
      <c r="AN24" s="6">
        <v>30</v>
      </c>
    </row>
    <row r="25" spans="1:40" ht="15">
      <c r="A25" s="7">
        <v>1</v>
      </c>
      <c r="B25" s="11">
        <v>1.489857013314122E-2</v>
      </c>
      <c r="C25" s="12">
        <v>10.429669388164939</v>
      </c>
      <c r="D25" s="12">
        <v>20.892990922982108</v>
      </c>
      <c r="E25" s="12">
        <v>31.406700333723734</v>
      </c>
      <c r="F25" s="12">
        <v>41.972168522717766</v>
      </c>
      <c r="G25" s="12">
        <v>52.58893852301685</v>
      </c>
      <c r="H25" s="12">
        <v>63.260514664508037</v>
      </c>
      <c r="I25" s="12">
        <v>73.988319416900481</v>
      </c>
      <c r="J25" s="12">
        <v>84.771780977732192</v>
      </c>
      <c r="K25" s="12">
        <v>95.616075486470436</v>
      </c>
      <c r="L25" s="12">
        <v>106.51877114338754</v>
      </c>
      <c r="M25" s="12">
        <v>117.48293031663525</v>
      </c>
      <c r="N25" s="12">
        <v>128.50979340074082</v>
      </c>
      <c r="O25" s="12">
        <v>139.60073572097622</v>
      </c>
      <c r="P25" s="12">
        <v>150.75480460998244</v>
      </c>
      <c r="Q25" s="12">
        <v>161.97713303089813</v>
      </c>
      <c r="R25" s="9">
        <v>173.26491659680971</v>
      </c>
      <c r="S25" s="9">
        <v>184.62118276769286</v>
      </c>
      <c r="T25" s="12">
        <v>196.04697201262513</v>
      </c>
      <c r="U25" s="12">
        <v>207.54320844233962</v>
      </c>
      <c r="V25" s="12">
        <v>219.11095430731393</v>
      </c>
      <c r="W25" s="12">
        <v>230.75124098082517</v>
      </c>
      <c r="X25" s="12">
        <v>242.46286200127315</v>
      </c>
      <c r="Y25" s="12">
        <v>254.25069518883788</v>
      </c>
      <c r="Z25" s="12">
        <v>266.11169045915915</v>
      </c>
      <c r="AA25" s="12">
        <v>278.05049676895555</v>
      </c>
      <c r="AB25" s="12">
        <v>290.06417566687765</v>
      </c>
      <c r="AC25" s="12">
        <v>302.15536536518039</v>
      </c>
      <c r="AD25" s="12">
        <v>314.32472279955721</v>
      </c>
      <c r="AE25" s="12">
        <v>326.57304629185217</v>
      </c>
      <c r="AF25" s="12">
        <v>338.13377544639627</v>
      </c>
      <c r="AG25" s="12">
        <v>348.09167426642352</v>
      </c>
      <c r="AH25" s="10">
        <v>358.13066790021617</v>
      </c>
      <c r="AJ25" s="7">
        <v>1</v>
      </c>
      <c r="AK25" s="22">
        <v>0.99765742711445893</v>
      </c>
      <c r="AL25" s="23">
        <v>0.99793608167013692</v>
      </c>
      <c r="AM25" s="23">
        <v>0.998206998199202</v>
      </c>
      <c r="AN25" s="24">
        <v>0.99844235335713194</v>
      </c>
    </row>
    <row r="26" spans="1:40" ht="15">
      <c r="A26" s="7">
        <v>5</v>
      </c>
      <c r="B26" s="11">
        <v>-4.3681684278062676</v>
      </c>
      <c r="C26" s="12">
        <v>6.1954834351644195</v>
      </c>
      <c r="D26" s="12">
        <v>16.802737083070838</v>
      </c>
      <c r="E26" s="12">
        <v>27.445952432152126</v>
      </c>
      <c r="F26" s="12">
        <v>38.136982445463104</v>
      </c>
      <c r="G26" s="12">
        <v>48.877166252859183</v>
      </c>
      <c r="H26" s="12">
        <v>59.658257094618079</v>
      </c>
      <c r="I26" s="12">
        <v>70.502700967322085</v>
      </c>
      <c r="J26" s="12">
        <v>81.391315640851417</v>
      </c>
      <c r="K26" s="12">
        <v>92.33603296181343</v>
      </c>
      <c r="L26" s="12">
        <v>103.33834063851691</v>
      </c>
      <c r="M26" s="12">
        <v>114.38932643633609</v>
      </c>
      <c r="N26" s="12">
        <v>125.50074563377439</v>
      </c>
      <c r="O26" s="12">
        <v>136.68384828554451</v>
      </c>
      <c r="P26" s="12">
        <v>147.92011514129979</v>
      </c>
      <c r="Q26" s="12">
        <v>159.22028569316683</v>
      </c>
      <c r="R26" s="12">
        <v>170.57654554777844</v>
      </c>
      <c r="S26" s="12">
        <v>182.0089941016189</v>
      </c>
      <c r="T26" s="12">
        <v>193.50930195526428</v>
      </c>
      <c r="U26" s="12">
        <v>205.06869156273967</v>
      </c>
      <c r="V26" s="12">
        <v>216.69810676617158</v>
      </c>
      <c r="W26" s="12">
        <v>228.40843723105888</v>
      </c>
      <c r="X26" s="12">
        <v>240.18050586704737</v>
      </c>
      <c r="Y26" s="12">
        <v>252.02599266485925</v>
      </c>
      <c r="Z26" s="12">
        <v>263.94496092366057</v>
      </c>
      <c r="AA26" s="12">
        <v>275.9288729556622</v>
      </c>
      <c r="AB26" s="12">
        <v>287.99828881151916</v>
      </c>
      <c r="AC26" s="12">
        <v>300.1441748581077</v>
      </c>
      <c r="AD26" s="12">
        <v>312.3673212598668</v>
      </c>
      <c r="AE26" s="12">
        <v>324.65864804890418</v>
      </c>
      <c r="AF26" s="12">
        <v>337.03856597659512</v>
      </c>
      <c r="AG26" s="12">
        <v>349.48809834929875</v>
      </c>
      <c r="AH26" s="13">
        <v>362.01732822544921</v>
      </c>
      <c r="AJ26" s="7">
        <v>5</v>
      </c>
      <c r="AK26" s="25">
        <v>0.98828713557229442</v>
      </c>
      <c r="AL26" s="26">
        <v>0.98968040835068483</v>
      </c>
      <c r="AM26" s="26">
        <v>0.99103499099600989</v>
      </c>
      <c r="AN26" s="27">
        <v>0.99221176678565981</v>
      </c>
    </row>
    <row r="27" spans="1:40" ht="15">
      <c r="A27" s="7">
        <v>10</v>
      </c>
      <c r="B27" s="11">
        <v>-9.9131260014526106</v>
      </c>
      <c r="C27" s="12">
        <v>0.84230768862096284</v>
      </c>
      <c r="D27" s="12">
        <v>11.615798044165103</v>
      </c>
      <c r="E27" s="12">
        <v>22.448136412485155</v>
      </c>
      <c r="F27" s="12">
        <v>33.303247256707778</v>
      </c>
      <c r="G27" s="12">
        <v>44.202021153060173</v>
      </c>
      <c r="H27" s="12">
        <v>55.127043325045975</v>
      </c>
      <c r="I27" s="12">
        <v>66.120150864391576</v>
      </c>
      <c r="J27" s="12">
        <v>77.143422737826199</v>
      </c>
      <c r="K27" s="12">
        <v>88.219017916097982</v>
      </c>
      <c r="L27" s="12">
        <v>99.328433091719603</v>
      </c>
      <c r="M27" s="12">
        <v>110.51292793438006</v>
      </c>
      <c r="N27" s="12">
        <v>121.73454857723914</v>
      </c>
      <c r="O27" s="12">
        <v>133.01504842417683</v>
      </c>
      <c r="P27" s="12">
        <v>144.35589558417666</v>
      </c>
      <c r="Q27" s="12">
        <v>155.75762795524031</v>
      </c>
      <c r="R27" s="12">
        <v>167.22335701389341</v>
      </c>
      <c r="S27" s="12">
        <v>178.7526432673061</v>
      </c>
      <c r="T27" s="12">
        <v>190.32758682680685</v>
      </c>
      <c r="U27" s="12">
        <v>201.96947466591666</v>
      </c>
      <c r="V27" s="12">
        <v>213.69860245628956</v>
      </c>
      <c r="W27" s="12">
        <v>225.47781767147706</v>
      </c>
      <c r="X27" s="12">
        <v>237.32647942210849</v>
      </c>
      <c r="Y27" s="12">
        <v>249.24736439106846</v>
      </c>
      <c r="Z27" s="12">
        <v>261.23973795391476</v>
      </c>
      <c r="AA27" s="12">
        <v>273.28550765197213</v>
      </c>
      <c r="AB27" s="12">
        <v>285.4254565393727</v>
      </c>
      <c r="AC27" s="12">
        <v>297.64053671483271</v>
      </c>
      <c r="AD27" s="12">
        <v>309.9117170479185</v>
      </c>
      <c r="AE27" s="12">
        <v>322.2795963982594</v>
      </c>
      <c r="AF27" s="12">
        <v>334.70433931182538</v>
      </c>
      <c r="AG27" s="12">
        <v>347.20830618587013</v>
      </c>
      <c r="AH27" s="13">
        <v>359.81119321982158</v>
      </c>
      <c r="AJ27" s="7">
        <v>10</v>
      </c>
      <c r="AK27" s="25">
        <v>0.97657427114458872</v>
      </c>
      <c r="AL27" s="26">
        <v>0.97936081670136965</v>
      </c>
      <c r="AM27" s="26">
        <v>0.98206998199201978</v>
      </c>
      <c r="AN27" s="27">
        <v>0.98442353357131973</v>
      </c>
    </row>
    <row r="28" spans="1:40" ht="15">
      <c r="A28" s="7">
        <v>15</v>
      </c>
      <c r="B28" s="11">
        <v>-15.561553057672768</v>
      </c>
      <c r="C28" s="12">
        <v>-4.6049172104922036</v>
      </c>
      <c r="D28" s="12">
        <v>6.3810629222332409</v>
      </c>
      <c r="E28" s="12">
        <v>17.369149056011338</v>
      </c>
      <c r="F28" s="12">
        <v>28.39242005177789</v>
      </c>
      <c r="G28" s="12">
        <v>39.454824562950876</v>
      </c>
      <c r="H28" s="12">
        <v>50.558786865030243</v>
      </c>
      <c r="I28" s="12">
        <v>61.674101828963217</v>
      </c>
      <c r="J28" s="12">
        <v>72.868067061432612</v>
      </c>
      <c r="K28" s="12">
        <v>84.04548488613932</v>
      </c>
      <c r="L28" s="12">
        <v>95.305607160266391</v>
      </c>
      <c r="M28" s="12">
        <v>106.61655288389932</v>
      </c>
      <c r="N28" s="12">
        <v>117.95070035249796</v>
      </c>
      <c r="O28" s="12">
        <v>129.34068518041659</v>
      </c>
      <c r="P28" s="12">
        <v>140.78815452068625</v>
      </c>
      <c r="Q28" s="12">
        <v>152.29335135988845</v>
      </c>
      <c r="R28" s="12">
        <v>163.86046392092533</v>
      </c>
      <c r="S28" s="12">
        <v>175.48827533489964</v>
      </c>
      <c r="T28" s="12">
        <v>187.14904030872458</v>
      </c>
      <c r="U28" s="12">
        <v>198.8746559172788</v>
      </c>
      <c r="V28" s="12">
        <v>210.69546676460607</v>
      </c>
      <c r="W28" s="12">
        <v>222.55452795394626</v>
      </c>
      <c r="X28" s="12">
        <v>234.48080307937676</v>
      </c>
      <c r="Y28" s="12">
        <v>246.47806379764711</v>
      </c>
      <c r="Z28" s="12">
        <v>258.54475766688188</v>
      </c>
      <c r="AA28" s="12">
        <v>270.65303024911134</v>
      </c>
      <c r="AB28" s="12">
        <v>282.86434171898293</v>
      </c>
      <c r="AC28" s="12">
        <v>295.14940308536393</v>
      </c>
      <c r="AD28" s="12">
        <v>307.47900468547755</v>
      </c>
      <c r="AE28" s="12">
        <v>319.91300129673016</v>
      </c>
      <c r="AF28" s="12">
        <v>332.3946217639417</v>
      </c>
      <c r="AG28" s="12">
        <v>344.95348778156904</v>
      </c>
      <c r="AH28" s="13">
        <v>357.58906273912407</v>
      </c>
      <c r="AJ28" s="7">
        <v>15</v>
      </c>
      <c r="AK28" s="25">
        <v>0.96486140671688314</v>
      </c>
      <c r="AL28" s="26">
        <v>0.96904122505205448</v>
      </c>
      <c r="AM28" s="26">
        <v>0.97310497298802967</v>
      </c>
      <c r="AN28" s="27">
        <v>0.97663530035697954</v>
      </c>
    </row>
    <row r="29" spans="1:40" ht="15">
      <c r="A29" s="7">
        <v>20</v>
      </c>
      <c r="B29" s="11">
        <v>-21.317823919911916</v>
      </c>
      <c r="C29" s="12">
        <v>-10.109241291060243</v>
      </c>
      <c r="D29" s="12">
        <v>1.0767619389167749</v>
      </c>
      <c r="E29" s="12">
        <v>12.246265474115148</v>
      </c>
      <c r="F29" s="12">
        <v>23.488962873457126</v>
      </c>
      <c r="G29" s="12">
        <v>34.677176881220134</v>
      </c>
      <c r="H29" s="12">
        <v>45.944448680694677</v>
      </c>
      <c r="I29" s="12">
        <v>57.248658316623391</v>
      </c>
      <c r="J29" s="12">
        <v>68.551949460815763</v>
      </c>
      <c r="K29" s="12">
        <v>79.899276915556698</v>
      </c>
      <c r="L29" s="12">
        <v>91.292895532905618</v>
      </c>
      <c r="M29" s="12">
        <v>102.69123242647481</v>
      </c>
      <c r="N29" s="12">
        <v>114.14028979089289</v>
      </c>
      <c r="O29" s="12">
        <v>125.6836522925729</v>
      </c>
      <c r="P29" s="12">
        <v>137.23791838470913</v>
      </c>
      <c r="Q29" s="12">
        <v>148.85024974018836</v>
      </c>
      <c r="R29" s="12">
        <v>160.47732384023379</v>
      </c>
      <c r="S29" s="12">
        <v>172.20538524172878</v>
      </c>
      <c r="T29" s="12">
        <v>183.95330528373768</v>
      </c>
      <c r="U29" s="12">
        <v>195.80503187173997</v>
      </c>
      <c r="V29" s="12">
        <v>207.67963683756693</v>
      </c>
      <c r="W29" s="12">
        <v>219.61786913056108</v>
      </c>
      <c r="X29" s="12">
        <v>231.6245838006688</v>
      </c>
      <c r="Y29" s="12">
        <v>243.69743554130685</v>
      </c>
      <c r="Z29" s="12">
        <v>255.83938388841852</v>
      </c>
      <c r="AA29" s="12">
        <v>268.05155249987263</v>
      </c>
      <c r="AB29" s="12">
        <v>280.29433907511498</v>
      </c>
      <c r="AC29" s="12">
        <v>292.65018377076854</v>
      </c>
      <c r="AD29" s="12">
        <v>305.03876318477126</v>
      </c>
      <c r="AE29" s="12">
        <v>317.54222268915578</v>
      </c>
      <c r="AF29" s="12">
        <v>330.07859416244003</v>
      </c>
      <c r="AG29" s="12">
        <v>342.73327596256536</v>
      </c>
      <c r="AH29" s="13">
        <v>355.42264556071655</v>
      </c>
      <c r="AJ29" s="7">
        <v>20</v>
      </c>
      <c r="AK29" s="25">
        <v>0.95314854228917745</v>
      </c>
      <c r="AL29" s="26">
        <v>0.9587216334027393</v>
      </c>
      <c r="AM29" s="26">
        <v>0.96413996398403956</v>
      </c>
      <c r="AN29" s="27">
        <v>0.96884706714263935</v>
      </c>
    </row>
    <row r="30" spans="1:40" ht="15">
      <c r="A30" s="7">
        <v>25</v>
      </c>
      <c r="B30" s="11">
        <v>-27.139362198590561</v>
      </c>
      <c r="C30" s="12">
        <v>-15.701686222027888</v>
      </c>
      <c r="D30" s="12">
        <v>-4.3080575647705928</v>
      </c>
      <c r="E30" s="12">
        <v>7.0492458092857078</v>
      </c>
      <c r="F30" s="12">
        <v>18.485013074873905</v>
      </c>
      <c r="G30" s="12">
        <v>29.890016895258327</v>
      </c>
      <c r="H30" s="12">
        <v>41.325319199280102</v>
      </c>
      <c r="I30" s="12">
        <v>52.737441247010111</v>
      </c>
      <c r="J30" s="12">
        <v>64.186365505702724</v>
      </c>
      <c r="K30" s="12">
        <v>75.67478969089052</v>
      </c>
      <c r="L30" s="12">
        <v>87.202915120676494</v>
      </c>
      <c r="M30" s="12">
        <v>98.777871189621351</v>
      </c>
      <c r="N30" s="12">
        <v>110.34413310491232</v>
      </c>
      <c r="O30" s="12">
        <v>121.9597007302832</v>
      </c>
      <c r="P30" s="12">
        <v>133.6770893846782</v>
      </c>
      <c r="Q30" s="12">
        <v>145.34450449257997</v>
      </c>
      <c r="R30" s="12">
        <v>157.11754561484088</v>
      </c>
      <c r="S30" s="12">
        <v>168.94749734421725</v>
      </c>
      <c r="T30" s="12">
        <v>180.78381960746572</v>
      </c>
      <c r="U30" s="12">
        <v>192.73268358544965</v>
      </c>
      <c r="V30" s="12">
        <v>204.68902033553491</v>
      </c>
      <c r="W30" s="12">
        <v>216.71104237247607</v>
      </c>
      <c r="X30" s="12">
        <v>228.79559899793969</v>
      </c>
      <c r="Y30" s="12">
        <v>240.94853488599279</v>
      </c>
      <c r="Z30" s="12">
        <v>253.16660299290106</v>
      </c>
      <c r="AA30" s="12">
        <v>265.45327080780658</v>
      </c>
      <c r="AB30" s="12">
        <v>277.758302887794</v>
      </c>
      <c r="AC30" s="12">
        <v>290.18567156853999</v>
      </c>
      <c r="AD30" s="12">
        <v>302.6337246921654</v>
      </c>
      <c r="AE30" s="12">
        <v>315.20378249590453</v>
      </c>
      <c r="AF30" s="12">
        <v>327.79887559785095</v>
      </c>
      <c r="AG30" s="12">
        <v>340.46669566766252</v>
      </c>
      <c r="AH30" s="13">
        <v>353.21255799987921</v>
      </c>
      <c r="AJ30" s="7">
        <v>25</v>
      </c>
      <c r="AK30" s="25">
        <v>0.94143567786147186</v>
      </c>
      <c r="AL30" s="26">
        <v>0.94840204175342413</v>
      </c>
      <c r="AM30" s="26">
        <v>0.95517495498004945</v>
      </c>
      <c r="AN30" s="27">
        <v>0.96105883392829927</v>
      </c>
    </row>
    <row r="31" spans="1:40" ht="15">
      <c r="A31" s="7">
        <v>30</v>
      </c>
      <c r="B31" s="11">
        <v>-33.029703143568042</v>
      </c>
      <c r="C31" s="12">
        <v>-21.422907716864756</v>
      </c>
      <c r="D31" s="12">
        <v>-9.7416342752097762</v>
      </c>
      <c r="E31" s="12">
        <v>1.8098957352410707</v>
      </c>
      <c r="F31" s="12">
        <v>13.442228384096552</v>
      </c>
      <c r="G31" s="12">
        <v>25.029653345273005</v>
      </c>
      <c r="H31" s="12">
        <v>36.635162464674522</v>
      </c>
      <c r="I31" s="12">
        <v>48.204789280260002</v>
      </c>
      <c r="J31" s="12">
        <v>59.869186926071279</v>
      </c>
      <c r="K31" s="12">
        <v>71.501866056637937</v>
      </c>
      <c r="L31" s="12">
        <v>83.169250344719103</v>
      </c>
      <c r="M31" s="12">
        <v>94.811816496914275</v>
      </c>
      <c r="N31" s="12">
        <v>106.56268302055207</v>
      </c>
      <c r="O31" s="12">
        <v>118.29422435530341</v>
      </c>
      <c r="P31" s="12">
        <v>130.07383347022392</v>
      </c>
      <c r="Q31" s="12">
        <v>141.90083606144162</v>
      </c>
      <c r="R31" s="12">
        <v>153.78289580935382</v>
      </c>
      <c r="S31" s="12">
        <v>165.65260148860523</v>
      </c>
      <c r="T31" s="12">
        <v>177.64225385183965</v>
      </c>
      <c r="U31" s="12">
        <v>189.62354032304142</v>
      </c>
      <c r="V31" s="12">
        <v>201.66737944186798</v>
      </c>
      <c r="W31" s="12">
        <v>213.7698026057767</v>
      </c>
      <c r="X31" s="12">
        <v>226.00068850416289</v>
      </c>
      <c r="Y31" s="12">
        <v>238.16734648735144</v>
      </c>
      <c r="Z31" s="12">
        <v>250.46250531942769</v>
      </c>
      <c r="AA31" s="12">
        <v>262.82459097000185</v>
      </c>
      <c r="AB31" s="12">
        <v>275.25484309949877</v>
      </c>
      <c r="AC31" s="12">
        <v>287.69223837794198</v>
      </c>
      <c r="AD31" s="12">
        <v>300.26243717891123</v>
      </c>
      <c r="AE31" s="12">
        <v>312.83950714490493</v>
      </c>
      <c r="AF31" s="12">
        <v>325.492077240767</v>
      </c>
      <c r="AG31" s="12">
        <v>338.28019003091606</v>
      </c>
      <c r="AH31" s="13">
        <v>351.07843039949478</v>
      </c>
      <c r="AJ31" s="7">
        <v>30</v>
      </c>
      <c r="AK31" s="25">
        <v>0.92972281343376617</v>
      </c>
      <c r="AL31" s="26">
        <v>0.93808245010410896</v>
      </c>
      <c r="AM31" s="26">
        <v>0.94620994597605945</v>
      </c>
      <c r="AN31" s="27">
        <v>0.95327060071395908</v>
      </c>
    </row>
    <row r="32" spans="1:40" ht="15">
      <c r="A32" s="7">
        <v>35</v>
      </c>
      <c r="B32" s="11">
        <v>-39.080099752737169</v>
      </c>
      <c r="C32" s="12">
        <v>-27.180045785236757</v>
      </c>
      <c r="D32" s="12">
        <v>-15.285182474458566</v>
      </c>
      <c r="E32" s="12">
        <v>-3.4750343988198438</v>
      </c>
      <c r="F32" s="12">
        <v>8.3423959487708998</v>
      </c>
      <c r="G32" s="12">
        <v>20.171856128503691</v>
      </c>
      <c r="H32" s="12">
        <v>31.934500097739715</v>
      </c>
      <c r="I32" s="12">
        <v>43.715347980842239</v>
      </c>
      <c r="J32" s="12">
        <v>55.446460684615886</v>
      </c>
      <c r="K32" s="12">
        <v>67.282218849516653</v>
      </c>
      <c r="L32" s="12">
        <v>79.072404644314702</v>
      </c>
      <c r="M32" s="12">
        <v>90.895308226968154</v>
      </c>
      <c r="N32" s="12">
        <v>102.6801892197293</v>
      </c>
      <c r="O32" s="12">
        <v>114.5840974813658</v>
      </c>
      <c r="P32" s="12">
        <v>126.4558383745383</v>
      </c>
      <c r="Q32" s="12">
        <v>138.4507566893559</v>
      </c>
      <c r="R32" s="12">
        <v>150.41875159087567</v>
      </c>
      <c r="S32" s="12">
        <v>162.43493230230592</v>
      </c>
      <c r="T32" s="12">
        <v>174.42945707871218</v>
      </c>
      <c r="U32" s="12">
        <v>186.55478974481855</v>
      </c>
      <c r="V32" s="12">
        <v>198.73730019354696</v>
      </c>
      <c r="W32" s="12">
        <v>210.90425100908669</v>
      </c>
      <c r="X32" s="12">
        <v>223.12890323174145</v>
      </c>
      <c r="Y32" s="12">
        <v>235.4192751199671</v>
      </c>
      <c r="Z32" s="12">
        <v>247.84418327952494</v>
      </c>
      <c r="AA32" s="12">
        <v>260.26359640270505</v>
      </c>
      <c r="AB32" s="12">
        <v>272.74642996956527</v>
      </c>
      <c r="AC32" s="12">
        <v>285.22384303053923</v>
      </c>
      <c r="AD32" s="12">
        <v>297.84383700494391</v>
      </c>
      <c r="AE32" s="12">
        <v>310.53406806378791</v>
      </c>
      <c r="AF32" s="12">
        <v>323.22275741651526</v>
      </c>
      <c r="AG32" s="12">
        <v>336.05682365935479</v>
      </c>
      <c r="AH32" s="13">
        <v>348.88847986293081</v>
      </c>
      <c r="AJ32" s="7">
        <v>35</v>
      </c>
      <c r="AK32" s="25">
        <v>0.91800994900606059</v>
      </c>
      <c r="AL32" s="26">
        <v>0.92776285845479378</v>
      </c>
      <c r="AM32" s="26">
        <v>0.93724493697206934</v>
      </c>
      <c r="AN32" s="27">
        <v>0.94548236749961889</v>
      </c>
    </row>
    <row r="33" spans="1:40" ht="15">
      <c r="A33" s="7">
        <v>40</v>
      </c>
      <c r="B33" s="11">
        <v>-45.158761376258155</v>
      </c>
      <c r="C33" s="12">
        <v>-32.970945731254062</v>
      </c>
      <c r="D33" s="12">
        <v>-20.905655987891919</v>
      </c>
      <c r="E33" s="12">
        <v>-8.752660497422994</v>
      </c>
      <c r="F33" s="12">
        <v>3.2066419763866634</v>
      </c>
      <c r="G33" s="12">
        <v>15.166925912127454</v>
      </c>
      <c r="H33" s="12">
        <v>27.137361465543677</v>
      </c>
      <c r="I33" s="12">
        <v>39.118411588851814</v>
      </c>
      <c r="J33" s="12">
        <v>51.026664669170145</v>
      </c>
      <c r="K33" s="12">
        <v>63.050365177084018</v>
      </c>
      <c r="L33" s="12">
        <v>74.915501440283379</v>
      </c>
      <c r="M33" s="12">
        <v>86.907050340639898</v>
      </c>
      <c r="N33" s="12">
        <v>98.929004981056096</v>
      </c>
      <c r="O33" s="12">
        <v>110.89533782000137</v>
      </c>
      <c r="P33" s="12">
        <v>122.90667975694998</v>
      </c>
      <c r="Q33" s="12">
        <v>134.95778075878309</v>
      </c>
      <c r="R33" s="12">
        <v>147.05882883695665</v>
      </c>
      <c r="S33" s="12">
        <v>159.11695166663833</v>
      </c>
      <c r="T33" s="12">
        <v>171.31343425959199</v>
      </c>
      <c r="U33" s="12">
        <v>183.47196503283612</v>
      </c>
      <c r="V33" s="12">
        <v>195.68950318830071</v>
      </c>
      <c r="W33" s="12">
        <v>208.04642600125942</v>
      </c>
      <c r="X33" s="12">
        <v>220.37942781363836</v>
      </c>
      <c r="Y33" s="12">
        <v>232.68347200135486</v>
      </c>
      <c r="Z33" s="12">
        <v>245.13533670207403</v>
      </c>
      <c r="AA33" s="12">
        <v>257.65064110284527</v>
      </c>
      <c r="AB33" s="12">
        <v>270.23080034746079</v>
      </c>
      <c r="AC33" s="12">
        <v>282.79250954039207</v>
      </c>
      <c r="AD33" s="12">
        <v>295.5028870062165</v>
      </c>
      <c r="AE33" s="12">
        <v>308.20141403213279</v>
      </c>
      <c r="AF33" s="12">
        <v>320.97018947858783</v>
      </c>
      <c r="AG33" s="12">
        <v>333.89052114537628</v>
      </c>
      <c r="AH33" s="13">
        <v>346.79918873773647</v>
      </c>
      <c r="AJ33" s="7">
        <v>40</v>
      </c>
      <c r="AK33" s="25">
        <v>0.90629708457835489</v>
      </c>
      <c r="AL33" s="26">
        <v>0.91744326680547861</v>
      </c>
      <c r="AM33" s="26">
        <v>0.92827992796807923</v>
      </c>
      <c r="AN33" s="27">
        <v>0.93769413428527881</v>
      </c>
    </row>
    <row r="34" spans="1:40" ht="15">
      <c r="A34" s="7">
        <v>45</v>
      </c>
      <c r="B34" s="11">
        <v>-51.329900694936782</v>
      </c>
      <c r="C34" s="12">
        <v>-38.837749283222422</v>
      </c>
      <c r="D34" s="12">
        <v>-26.49289991466776</v>
      </c>
      <c r="E34" s="12">
        <v>-14.167596251372174</v>
      </c>
      <c r="F34" s="12">
        <v>-1.9692140923109491</v>
      </c>
      <c r="G34" s="12">
        <v>10.225310379925077</v>
      </c>
      <c r="H34" s="12">
        <v>22.416841477059052</v>
      </c>
      <c r="I34" s="12">
        <v>34.509111344391272</v>
      </c>
      <c r="J34" s="12">
        <v>46.615064582387731</v>
      </c>
      <c r="K34" s="12">
        <v>58.739015727522769</v>
      </c>
      <c r="L34" s="12">
        <v>70.880411904209836</v>
      </c>
      <c r="M34" s="12">
        <v>82.94450647674239</v>
      </c>
      <c r="N34" s="12">
        <v>95.03481759086435</v>
      </c>
      <c r="O34" s="12">
        <v>107.16359122655103</v>
      </c>
      <c r="P34" s="12">
        <v>119.32482961475546</v>
      </c>
      <c r="Q34" s="12">
        <v>131.52586945262203</v>
      </c>
      <c r="R34" s="12">
        <v>143.6691148834218</v>
      </c>
      <c r="S34" s="12">
        <v>155.85831036234379</v>
      </c>
      <c r="T34" s="12">
        <v>168.19073872536001</v>
      </c>
      <c r="U34" s="12">
        <v>180.47821527588542</v>
      </c>
      <c r="V34" s="12">
        <v>192.71540512204786</v>
      </c>
      <c r="W34" s="12">
        <v>205.10600661215278</v>
      </c>
      <c r="X34" s="12">
        <v>217.55297659486632</v>
      </c>
      <c r="Y34" s="12">
        <v>229.96067073814027</v>
      </c>
      <c r="Z34" s="12">
        <v>242.52168874061613</v>
      </c>
      <c r="AA34" s="12">
        <v>255.05159081207012</v>
      </c>
      <c r="AB34" s="12">
        <v>267.74149873170404</v>
      </c>
      <c r="AC34" s="12">
        <v>280.3953694531873</v>
      </c>
      <c r="AD34" s="12">
        <v>293.11554625376925</v>
      </c>
      <c r="AE34" s="12">
        <v>305.90747741170424</v>
      </c>
      <c r="AF34" s="12">
        <v>318.76401733114233</v>
      </c>
      <c r="AG34" s="12">
        <v>331.69050765599752</v>
      </c>
      <c r="AH34" s="13">
        <v>344.68804845975524</v>
      </c>
      <c r="AJ34" s="7">
        <v>45</v>
      </c>
      <c r="AK34" s="25">
        <v>0.89458422015064931</v>
      </c>
      <c r="AL34" s="26">
        <v>0.90712367515616343</v>
      </c>
      <c r="AM34" s="26">
        <v>0.91931491896408912</v>
      </c>
      <c r="AN34" s="27">
        <v>0.92990590107093862</v>
      </c>
    </row>
    <row r="35" spans="1:40" ht="15">
      <c r="A35" s="7">
        <v>50</v>
      </c>
      <c r="B35" s="11">
        <v>-57.65503352676518</v>
      </c>
      <c r="C35" s="12">
        <v>-44.785411437502603</v>
      </c>
      <c r="D35" s="12">
        <v>-32.230006091715893</v>
      </c>
      <c r="E35" s="12">
        <v>-19.704581868785112</v>
      </c>
      <c r="F35" s="12">
        <v>-7.2013600867144305</v>
      </c>
      <c r="G35" s="12">
        <v>5.2813231513792971</v>
      </c>
      <c r="H35" s="12">
        <v>17.633713891097159</v>
      </c>
      <c r="I35" s="12">
        <v>29.980928128180039</v>
      </c>
      <c r="J35" s="12">
        <v>42.214142635523672</v>
      </c>
      <c r="K35" s="12">
        <v>54.460008050731517</v>
      </c>
      <c r="L35" s="12">
        <v>66.717723410453686</v>
      </c>
      <c r="M35" s="12">
        <v>79.001815708343884</v>
      </c>
      <c r="N35" s="12">
        <v>91.189881791936273</v>
      </c>
      <c r="O35" s="12">
        <v>103.51822518338599</v>
      </c>
      <c r="P35" s="12">
        <v>115.769260029512</v>
      </c>
      <c r="Q35" s="12">
        <v>128.05181998019066</v>
      </c>
      <c r="R35" s="12">
        <v>140.3738214260776</v>
      </c>
      <c r="S35" s="12">
        <v>152.62550434734908</v>
      </c>
      <c r="T35" s="12">
        <v>165.03489208687483</v>
      </c>
      <c r="U35" s="12">
        <v>177.3799835114952</v>
      </c>
      <c r="V35" s="12">
        <v>189.77056753797058</v>
      </c>
      <c r="W35" s="12">
        <v>202.21845003199269</v>
      </c>
      <c r="X35" s="12">
        <v>214.71591691965182</v>
      </c>
      <c r="Y35" s="12">
        <v>227.26968844326848</v>
      </c>
      <c r="Z35" s="12">
        <v>239.88153866979849</v>
      </c>
      <c r="AA35" s="12">
        <v>252.55315347926148</v>
      </c>
      <c r="AB35" s="12">
        <v>265.17781006837299</v>
      </c>
      <c r="AC35" s="12">
        <v>277.97403685942595</v>
      </c>
      <c r="AD35" s="12">
        <v>290.7269428393779</v>
      </c>
      <c r="AE35" s="12">
        <v>303.64883576929299</v>
      </c>
      <c r="AF35" s="12">
        <v>316.535401839987</v>
      </c>
      <c r="AG35" s="12">
        <v>329.48614070100814</v>
      </c>
      <c r="AH35" s="13">
        <v>342.5115227803924</v>
      </c>
      <c r="AJ35" s="7">
        <v>50</v>
      </c>
      <c r="AK35" s="25">
        <v>0.88287135572294362</v>
      </c>
      <c r="AL35" s="26">
        <v>0.89680408350684826</v>
      </c>
      <c r="AM35" s="26">
        <v>0.91034990996009901</v>
      </c>
      <c r="AN35" s="27">
        <v>0.92211766785659854</v>
      </c>
    </row>
    <row r="36" spans="1:40" ht="15">
      <c r="A36" s="7">
        <v>55</v>
      </c>
      <c r="B36" s="11">
        <v>-64.01397889967717</v>
      </c>
      <c r="C36" s="12">
        <v>-50.812913173038623</v>
      </c>
      <c r="D36" s="12">
        <v>-37.964655143914399</v>
      </c>
      <c r="E36" s="12">
        <v>-25.166046998716638</v>
      </c>
      <c r="F36" s="12">
        <v>-12.407829506201892</v>
      </c>
      <c r="G36" s="12">
        <v>0.18571224927575258</v>
      </c>
      <c r="H36" s="12">
        <v>12.758213083040118</v>
      </c>
      <c r="I36" s="12">
        <v>25.328430688247181</v>
      </c>
      <c r="J36" s="12">
        <v>37.749988889330439</v>
      </c>
      <c r="K36" s="12">
        <v>50.183424498426803</v>
      </c>
      <c r="L36" s="12">
        <v>62.621793986998455</v>
      </c>
      <c r="M36" s="12">
        <v>75.075578945654911</v>
      </c>
      <c r="N36" s="12">
        <v>87.419327790055263</v>
      </c>
      <c r="O36" s="12">
        <v>99.788642226213483</v>
      </c>
      <c r="P36" s="12">
        <v>112.18143586611848</v>
      </c>
      <c r="Q36" s="12">
        <v>124.60672858310647</v>
      </c>
      <c r="R36" s="12">
        <v>136.94143302817326</v>
      </c>
      <c r="S36" s="12">
        <v>149.44164027573811</v>
      </c>
      <c r="T36" s="12">
        <v>161.85836245469307</v>
      </c>
      <c r="U36" s="12">
        <v>174.31485969110952</v>
      </c>
      <c r="V36" s="12">
        <v>186.81898877285141</v>
      </c>
      <c r="W36" s="12">
        <v>199.37835789366727</v>
      </c>
      <c r="X36" s="12">
        <v>211.98429861491093</v>
      </c>
      <c r="Y36" s="12">
        <v>224.64422087639548</v>
      </c>
      <c r="Z36" s="12">
        <v>237.23340981884974</v>
      </c>
      <c r="AA36" s="12">
        <v>250.00740474312374</v>
      </c>
      <c r="AB36" s="12">
        <v>262.72038295888444</v>
      </c>
      <c r="AC36" s="12">
        <v>275.60995691740595</v>
      </c>
      <c r="AD36" s="12">
        <v>288.44776347801826</v>
      </c>
      <c r="AE36" s="12">
        <v>301.34515162431831</v>
      </c>
      <c r="AF36" s="12">
        <v>314.31388334061501</v>
      </c>
      <c r="AG36" s="12">
        <v>327.34485414570918</v>
      </c>
      <c r="AH36" s="13">
        <v>340.44447784439865</v>
      </c>
      <c r="AJ36" s="7">
        <v>55</v>
      </c>
      <c r="AK36" s="25">
        <v>0.87115849129523804</v>
      </c>
      <c r="AL36" s="26">
        <v>0.88648449185753309</v>
      </c>
      <c r="AM36" s="26">
        <v>0.9013849009561089</v>
      </c>
      <c r="AN36" s="27">
        <v>0.91432943464225835</v>
      </c>
    </row>
    <row r="37" spans="1:40" ht="15">
      <c r="A37" s="7">
        <v>60</v>
      </c>
      <c r="B37" s="11">
        <v>-70.446682587682915</v>
      </c>
      <c r="C37" s="12">
        <v>-56.951805081565681</v>
      </c>
      <c r="D37" s="12">
        <v>-43.698712680263156</v>
      </c>
      <c r="E37" s="12">
        <v>-30.673748756096131</v>
      </c>
      <c r="F37" s="12">
        <v>-17.701052321519796</v>
      </c>
      <c r="G37" s="12">
        <v>-4.7574116854713111</v>
      </c>
      <c r="H37" s="12">
        <v>7.9916598605425406</v>
      </c>
      <c r="I37" s="12">
        <v>20.731395300122472</v>
      </c>
      <c r="J37" s="12">
        <v>33.305296614958365</v>
      </c>
      <c r="K37" s="12">
        <v>45.872473221737209</v>
      </c>
      <c r="L37" s="12">
        <v>58.451376113146125</v>
      </c>
      <c r="M37" s="12">
        <v>71.033934398448537</v>
      </c>
      <c r="N37" s="12">
        <v>83.631272712326336</v>
      </c>
      <c r="O37" s="12">
        <v>96.104917712870474</v>
      </c>
      <c r="P37" s="12">
        <v>108.5976244646356</v>
      </c>
      <c r="Q37" s="12">
        <v>121.11926894829014</v>
      </c>
      <c r="R37" s="12">
        <v>133.6731791430642</v>
      </c>
      <c r="S37" s="12">
        <v>146.1236863691048</v>
      </c>
      <c r="T37" s="12">
        <v>158.75220006185975</v>
      </c>
      <c r="U37" s="12">
        <v>171.2846382673597</v>
      </c>
      <c r="V37" s="12">
        <v>183.99273452229795</v>
      </c>
      <c r="W37" s="12">
        <v>196.61730142140561</v>
      </c>
      <c r="X37" s="12">
        <v>209.28581281670267</v>
      </c>
      <c r="Y37" s="12">
        <v>222.00635024750204</v>
      </c>
      <c r="Z37" s="12">
        <v>234.64711825804591</v>
      </c>
      <c r="AA37" s="12">
        <v>247.47818134398517</v>
      </c>
      <c r="AB37" s="12">
        <v>260.36694183848499</v>
      </c>
      <c r="AC37" s="12">
        <v>273.18293701723303</v>
      </c>
      <c r="AD37" s="12">
        <v>286.18688803816417</v>
      </c>
      <c r="AE37" s="12">
        <v>299.12794034585511</v>
      </c>
      <c r="AF37" s="12">
        <v>312.12819432272488</v>
      </c>
      <c r="AG37" s="12">
        <v>325.20041252351314</v>
      </c>
      <c r="AH37" s="13">
        <v>338.46443666402035</v>
      </c>
      <c r="AJ37" s="7">
        <v>60</v>
      </c>
      <c r="AK37" s="25">
        <v>0.85944562686753234</v>
      </c>
      <c r="AL37" s="26">
        <v>0.87616490020821791</v>
      </c>
      <c r="AM37" s="26">
        <v>0.89241989195211879</v>
      </c>
      <c r="AN37" s="27">
        <v>0.90654120142791816</v>
      </c>
    </row>
    <row r="38" spans="1:40" ht="15">
      <c r="A38" s="7">
        <v>65</v>
      </c>
      <c r="B38" s="11">
        <v>-76.839767883704383</v>
      </c>
      <c r="C38" s="12">
        <v>-63.093666364557578</v>
      </c>
      <c r="D38" s="12">
        <v>-49.631053092551497</v>
      </c>
      <c r="E38" s="12">
        <v>-36.249629295092177</v>
      </c>
      <c r="F38" s="12">
        <v>-22.929497426422017</v>
      </c>
      <c r="G38" s="12">
        <v>-9.8322201069127004</v>
      </c>
      <c r="H38" s="12">
        <v>3.0518076786474921</v>
      </c>
      <c r="I38" s="12">
        <v>16.08038856703979</v>
      </c>
      <c r="J38" s="12">
        <v>28.916159842127513</v>
      </c>
      <c r="K38" s="12">
        <v>41.579350130201647</v>
      </c>
      <c r="L38" s="12">
        <v>54.404822712810528</v>
      </c>
      <c r="M38" s="12">
        <v>67.072582970799886</v>
      </c>
      <c r="N38" s="12">
        <v>79.744041966658415</v>
      </c>
      <c r="O38" s="12">
        <v>92.430847689146503</v>
      </c>
      <c r="P38" s="12">
        <v>104.98130559872595</v>
      </c>
      <c r="Q38" s="12">
        <v>117.71245604146145</v>
      </c>
      <c r="R38" s="12">
        <v>130.31722541205181</v>
      </c>
      <c r="S38" s="12">
        <v>142.94812562138497</v>
      </c>
      <c r="T38" s="12">
        <v>155.61502089574537</v>
      </c>
      <c r="U38" s="12">
        <v>168.32081045267125</v>
      </c>
      <c r="V38" s="12">
        <v>181.06822956342671</v>
      </c>
      <c r="W38" s="12">
        <v>193.7110816871932</v>
      </c>
      <c r="X38" s="12">
        <v>206.55017697883659</v>
      </c>
      <c r="Y38" s="12">
        <v>219.28452683727005</v>
      </c>
      <c r="Z38" s="12">
        <v>232.07788609905253</v>
      </c>
      <c r="AA38" s="12">
        <v>244.91937663933277</v>
      </c>
      <c r="AB38" s="12">
        <v>257.81729229308849</v>
      </c>
      <c r="AC38" s="12">
        <v>270.7797093738576</v>
      </c>
      <c r="AD38" s="12">
        <v>283.79565066690873</v>
      </c>
      <c r="AE38" s="12">
        <v>296.87304695297848</v>
      </c>
      <c r="AF38" s="12">
        <v>310.01340833099277</v>
      </c>
      <c r="AG38" s="12">
        <v>323.07570107159393</v>
      </c>
      <c r="AH38" s="13">
        <v>336.34051575710282</v>
      </c>
      <c r="AJ38" s="7">
        <v>65</v>
      </c>
      <c r="AK38" s="25">
        <v>0.84773276243982676</v>
      </c>
      <c r="AL38" s="26">
        <v>0.86584530855890274</v>
      </c>
      <c r="AM38" s="26">
        <v>0.88345488294812868</v>
      </c>
      <c r="AN38" s="27">
        <v>0.89875296821357809</v>
      </c>
    </row>
    <row r="39" spans="1:40" ht="15">
      <c r="A39" s="7">
        <v>70</v>
      </c>
      <c r="B39" s="11">
        <v>-83.509852741786403</v>
      </c>
      <c r="C39" s="12">
        <v>-69.354784945176448</v>
      </c>
      <c r="D39" s="12">
        <v>-55.535023864751338</v>
      </c>
      <c r="E39" s="12">
        <v>-41.806766686410128</v>
      </c>
      <c r="F39" s="12">
        <v>-28.349727292911496</v>
      </c>
      <c r="G39" s="12">
        <v>-14.960301248542351</v>
      </c>
      <c r="H39" s="12">
        <v>-1.8065010653393756</v>
      </c>
      <c r="I39" s="12">
        <v>11.313499802855404</v>
      </c>
      <c r="J39" s="12">
        <v>24.399647833039353</v>
      </c>
      <c r="K39" s="12">
        <v>37.467522256661141</v>
      </c>
      <c r="L39" s="12">
        <v>50.338643854612883</v>
      </c>
      <c r="M39" s="12">
        <v>63.208615275974125</v>
      </c>
      <c r="N39" s="12">
        <v>75.909065886087319</v>
      </c>
      <c r="O39" s="12">
        <v>88.794181907526081</v>
      </c>
      <c r="P39" s="12">
        <v>101.52256250717301</v>
      </c>
      <c r="Q39" s="12">
        <v>114.2646057825815</v>
      </c>
      <c r="R39" s="12">
        <v>127.0316738449734</v>
      </c>
      <c r="S39" s="12">
        <v>139.82733828902929</v>
      </c>
      <c r="T39" s="12">
        <v>152.48965552887387</v>
      </c>
      <c r="U39" s="12">
        <v>165.35352166886003</v>
      </c>
      <c r="V39" s="12">
        <v>178.09227848030469</v>
      </c>
      <c r="W39" s="12">
        <v>190.86677096544327</v>
      </c>
      <c r="X39" s="12">
        <v>203.84789506277843</v>
      </c>
      <c r="Y39" s="12">
        <v>216.72167237166707</v>
      </c>
      <c r="Z39" s="12">
        <v>229.47891577366499</v>
      </c>
      <c r="AA39" s="12">
        <v>242.44859374868338</v>
      </c>
      <c r="AB39" s="12">
        <v>255.47235549792333</v>
      </c>
      <c r="AC39" s="12">
        <v>268.55209357973001</v>
      </c>
      <c r="AD39" s="12">
        <v>281.52618742948039</v>
      </c>
      <c r="AE39" s="12">
        <v>294.72385492841454</v>
      </c>
      <c r="AF39" s="12">
        <v>307.82724906642204</v>
      </c>
      <c r="AG39" s="12">
        <v>320.98765692398547</v>
      </c>
      <c r="AH39" s="13">
        <v>334.37418617646517</v>
      </c>
      <c r="AJ39" s="7">
        <v>70</v>
      </c>
      <c r="AK39" s="25">
        <v>0.83601989801212118</v>
      </c>
      <c r="AL39" s="26">
        <v>0.85552571690958756</v>
      </c>
      <c r="AM39" s="26">
        <v>0.87448987394413868</v>
      </c>
      <c r="AN39" s="27">
        <v>0.8909647349992379</v>
      </c>
    </row>
    <row r="40" spans="1:40" ht="15">
      <c r="A40" s="7">
        <v>75</v>
      </c>
      <c r="B40" s="11">
        <v>-89.960759968434388</v>
      </c>
      <c r="C40" s="12">
        <v>-75.428520724864711</v>
      </c>
      <c r="D40" s="12">
        <v>-61.256071302888188</v>
      </c>
      <c r="E40" s="12">
        <v>-47.420056616984482</v>
      </c>
      <c r="F40" s="12">
        <v>-33.679444279902384</v>
      </c>
      <c r="G40" s="12">
        <v>-20.011783857092951</v>
      </c>
      <c r="H40" s="12">
        <v>-6.610426006643479</v>
      </c>
      <c r="I40" s="12">
        <v>6.7375874289439253</v>
      </c>
      <c r="J40" s="12">
        <v>20.050279154754548</v>
      </c>
      <c r="K40" s="12">
        <v>33.13967290728192</v>
      </c>
      <c r="L40" s="12">
        <v>46.20579833307545</v>
      </c>
      <c r="M40" s="12">
        <v>59.263762116408429</v>
      </c>
      <c r="N40" s="12">
        <v>72.130154064762792</v>
      </c>
      <c r="O40" s="12">
        <v>85.003667518789371</v>
      </c>
      <c r="P40" s="12">
        <v>98.066475982609973</v>
      </c>
      <c r="Q40" s="12">
        <v>110.95843524337818</v>
      </c>
      <c r="R40" s="12">
        <v>123.68873843149356</v>
      </c>
      <c r="S40" s="12">
        <v>136.6273478536757</v>
      </c>
      <c r="T40" s="12">
        <v>149.41453658226715</v>
      </c>
      <c r="U40" s="12">
        <v>162.41396129310408</v>
      </c>
      <c r="V40" s="12">
        <v>175.26330167508684</v>
      </c>
      <c r="W40" s="12">
        <v>188.15267487963501</v>
      </c>
      <c r="X40" s="12">
        <v>201.09236516031058</v>
      </c>
      <c r="Y40" s="12">
        <v>214.06956139144984</v>
      </c>
      <c r="Z40" s="12">
        <v>227.09431580350815</v>
      </c>
      <c r="AA40" s="12">
        <v>239.9895557657203</v>
      </c>
      <c r="AB40" s="12">
        <v>253.11695222447179</v>
      </c>
      <c r="AC40" s="12">
        <v>266.12810420821029</v>
      </c>
      <c r="AD40" s="12">
        <v>279.36597777625229</v>
      </c>
      <c r="AE40" s="12">
        <v>292.48545931103445</v>
      </c>
      <c r="AF40" s="12">
        <v>305.66570554278826</v>
      </c>
      <c r="AG40" s="12">
        <v>318.91553149610286</v>
      </c>
      <c r="AH40" s="13">
        <v>332.22177581046083</v>
      </c>
      <c r="AJ40" s="7">
        <v>75</v>
      </c>
      <c r="AK40" s="25">
        <v>0.82430703358441548</v>
      </c>
      <c r="AL40" s="26">
        <v>0.84520612526027239</v>
      </c>
      <c r="AM40" s="26">
        <v>0.86552486494014857</v>
      </c>
      <c r="AN40" s="27">
        <v>0.88317650178489771</v>
      </c>
    </row>
    <row r="41" spans="1:40" ht="15">
      <c r="A41" s="14">
        <v>80</v>
      </c>
      <c r="B41" s="15">
        <v>-96.660539449826274</v>
      </c>
      <c r="C41" s="16">
        <v>-81.754883114921654</v>
      </c>
      <c r="D41" s="16">
        <v>-67.264354054068292</v>
      </c>
      <c r="E41" s="16">
        <v>-52.902572458050997</v>
      </c>
      <c r="F41" s="16">
        <v>-38.884405314865433</v>
      </c>
      <c r="G41" s="16">
        <v>-25.190762838178784</v>
      </c>
      <c r="H41" s="16">
        <v>-11.339144141313341</v>
      </c>
      <c r="I41" s="16">
        <v>2.2206332548093997</v>
      </c>
      <c r="J41" s="16">
        <v>15.519475510077655</v>
      </c>
      <c r="K41" s="16">
        <v>28.779440887801115</v>
      </c>
      <c r="L41" s="16">
        <v>42.026879871768301</v>
      </c>
      <c r="M41" s="16">
        <v>55.250072142427598</v>
      </c>
      <c r="N41" s="16">
        <v>68.455761136768842</v>
      </c>
      <c r="O41" s="16">
        <v>81.464947439759385</v>
      </c>
      <c r="P41" s="16">
        <v>94.472497879989419</v>
      </c>
      <c r="Q41" s="16">
        <v>107.50084196596981</v>
      </c>
      <c r="R41" s="16">
        <v>120.53686285546883</v>
      </c>
      <c r="S41" s="16">
        <v>133.3979627284566</v>
      </c>
      <c r="T41" s="16">
        <v>146.47220443368542</v>
      </c>
      <c r="U41" s="16">
        <v>159.39056864892768</v>
      </c>
      <c r="V41" s="16">
        <v>172.33483541825183</v>
      </c>
      <c r="W41" s="16">
        <v>185.31645198323486</v>
      </c>
      <c r="X41" s="16">
        <v>198.34644973644095</v>
      </c>
      <c r="Y41" s="16">
        <v>211.4109556789216</v>
      </c>
      <c r="Z41" s="16">
        <v>224.52075650371478</v>
      </c>
      <c r="AA41" s="16">
        <v>237.48497097992549</v>
      </c>
      <c r="AB41" s="16">
        <v>250.69338142432514</v>
      </c>
      <c r="AC41" s="16">
        <v>263.77051630440133</v>
      </c>
      <c r="AD41" s="16">
        <v>277.07781443627312</v>
      </c>
      <c r="AE41" s="16">
        <v>290.26744423646164</v>
      </c>
      <c r="AF41" s="16">
        <v>303.5084528856637</v>
      </c>
      <c r="AG41" s="16">
        <v>316.99813887548282</v>
      </c>
      <c r="AH41" s="17">
        <v>330.36173866597665</v>
      </c>
      <c r="AJ41" s="14">
        <v>80</v>
      </c>
      <c r="AK41" s="28">
        <v>0.81259416915670979</v>
      </c>
      <c r="AL41" s="29">
        <v>0.83488653361095722</v>
      </c>
      <c r="AM41" s="29">
        <v>0.85655985593615847</v>
      </c>
      <c r="AN41" s="30">
        <v>0.87538826857055763</v>
      </c>
    </row>
  </sheetData>
  <mergeCells count="8">
    <mergeCell ref="A1:AH1"/>
    <mergeCell ref="B2:AH2"/>
    <mergeCell ref="A22:AH22"/>
    <mergeCell ref="B23:AH23"/>
    <mergeCell ref="AJ1:AN1"/>
    <mergeCell ref="AK2:AN2"/>
    <mergeCell ref="AJ22:AN22"/>
    <mergeCell ref="AK23:AN2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BG71"/>
  <sheetViews>
    <sheetView topLeftCell="AQ31" workbookViewId="0">
      <selection activeCell="D4" sqref="D4:BG71"/>
    </sheetView>
  </sheetViews>
  <sheetFormatPr defaultColWidth="8.125" defaultRowHeight="12.75"/>
  <cols>
    <col min="1" max="1" width="3" style="31" bestFit="1" customWidth="1"/>
    <col min="2" max="2" width="8.25" style="31" bestFit="1" customWidth="1"/>
    <col min="3" max="3" width="28.25" style="31" bestFit="1" customWidth="1"/>
    <col min="4" max="4" width="13.75" style="31" bestFit="1" customWidth="1"/>
    <col min="5" max="5" width="12.875" style="31" bestFit="1" customWidth="1"/>
    <col min="6" max="6" width="19.375" style="31" bestFit="1" customWidth="1"/>
    <col min="7" max="7" width="14.125" style="31" bestFit="1" customWidth="1"/>
    <col min="8" max="8" width="16.625" style="31" bestFit="1" customWidth="1"/>
    <col min="9" max="9" width="11.875" style="31" bestFit="1" customWidth="1"/>
    <col min="10" max="12" width="23.625" style="31" bestFit="1" customWidth="1"/>
    <col min="13" max="15" width="24.625" style="31" bestFit="1" customWidth="1"/>
    <col min="16" max="16" width="24" style="31" bestFit="1" customWidth="1"/>
    <col min="17" max="17" width="23.375" style="31" bestFit="1" customWidth="1"/>
    <col min="18" max="19" width="23.625" style="31" bestFit="1" customWidth="1"/>
    <col min="20" max="21" width="24.625" style="31" bestFit="1" customWidth="1"/>
    <col min="22" max="22" width="24" style="31" bestFit="1" customWidth="1"/>
    <col min="23" max="23" width="23.375" style="31" bestFit="1" customWidth="1"/>
    <col min="24" max="25" width="18" style="31" bestFit="1" customWidth="1"/>
    <col min="26" max="26" width="17" style="31" bestFit="1" customWidth="1"/>
    <col min="27" max="27" width="13.25" style="31" bestFit="1" customWidth="1"/>
    <col min="28" max="30" width="14.125" style="31" bestFit="1" customWidth="1"/>
    <col min="31" max="32" width="27.25" style="31" bestFit="1" customWidth="1"/>
    <col min="33" max="33" width="22.875" style="31" bestFit="1" customWidth="1"/>
    <col min="34" max="34" width="30.25" style="31" bestFit="1" customWidth="1"/>
    <col min="35" max="35" width="16.375" style="31" bestFit="1" customWidth="1"/>
    <col min="36" max="36" width="10.625" style="31" bestFit="1" customWidth="1"/>
    <col min="37" max="37" width="12.875" style="31" bestFit="1" customWidth="1"/>
    <col min="38" max="38" width="17.75" style="31" bestFit="1" customWidth="1"/>
    <col min="39" max="39" width="11.875" style="31" bestFit="1" customWidth="1"/>
    <col min="40" max="40" width="19.25" style="31" bestFit="1" customWidth="1"/>
    <col min="41" max="41" width="11.875" style="31" bestFit="1" customWidth="1"/>
    <col min="42" max="42" width="20.75" style="31" bestFit="1" customWidth="1"/>
    <col min="43" max="43" width="24.75" style="31" bestFit="1" customWidth="1"/>
    <col min="44" max="45" width="27.25" style="31" bestFit="1" customWidth="1"/>
    <col min="46" max="46" width="8.125" style="31" customWidth="1"/>
    <col min="47" max="47" width="8" style="31" bestFit="1" customWidth="1"/>
    <col min="48" max="48" width="10" style="31" bestFit="1" customWidth="1"/>
    <col min="49" max="49" width="9" style="31" bestFit="1" customWidth="1"/>
    <col min="50" max="50" width="9.625" style="31" bestFit="1" customWidth="1"/>
    <col min="51" max="51" width="9" style="31" bestFit="1" customWidth="1"/>
    <col min="52" max="52" width="8.125" style="31" customWidth="1"/>
    <col min="53" max="53" width="16.25" style="34" customWidth="1"/>
    <col min="54" max="57" width="14.125" style="34" customWidth="1"/>
    <col min="58" max="58" width="23.375" style="35" customWidth="1"/>
    <col min="59" max="59" width="14.125" style="34" customWidth="1"/>
    <col min="60" max="256" width="8.125" style="31"/>
    <col min="257" max="257" width="3" style="31" bestFit="1" customWidth="1"/>
    <col min="258" max="258" width="8.25" style="31" bestFit="1" customWidth="1"/>
    <col min="259" max="259" width="28.25" style="31" bestFit="1" customWidth="1"/>
    <col min="260" max="260" width="13.75" style="31" bestFit="1" customWidth="1"/>
    <col min="261" max="261" width="12.875" style="31" bestFit="1" customWidth="1"/>
    <col min="262" max="262" width="19.375" style="31" bestFit="1" customWidth="1"/>
    <col min="263" max="263" width="14.125" style="31" bestFit="1" customWidth="1"/>
    <col min="264" max="264" width="16.625" style="31" bestFit="1" customWidth="1"/>
    <col min="265" max="265" width="11.875" style="31" bestFit="1" customWidth="1"/>
    <col min="266" max="268" width="23.625" style="31" bestFit="1" customWidth="1"/>
    <col min="269" max="271" width="24.625" style="31" bestFit="1" customWidth="1"/>
    <col min="272" max="272" width="24" style="31" bestFit="1" customWidth="1"/>
    <col min="273" max="273" width="23.375" style="31" bestFit="1" customWidth="1"/>
    <col min="274" max="275" width="23.625" style="31" bestFit="1" customWidth="1"/>
    <col min="276" max="277" width="24.625" style="31" bestFit="1" customWidth="1"/>
    <col min="278" max="278" width="24" style="31" bestFit="1" customWidth="1"/>
    <col min="279" max="279" width="23.375" style="31" bestFit="1" customWidth="1"/>
    <col min="280" max="281" width="18" style="31" bestFit="1" customWidth="1"/>
    <col min="282" max="282" width="17" style="31" bestFit="1" customWidth="1"/>
    <col min="283" max="283" width="13.25" style="31" bestFit="1" customWidth="1"/>
    <col min="284" max="286" width="14.125" style="31" bestFit="1" customWidth="1"/>
    <col min="287" max="288" width="27.25" style="31" bestFit="1" customWidth="1"/>
    <col min="289" max="289" width="22.875" style="31" bestFit="1" customWidth="1"/>
    <col min="290" max="290" width="30.25" style="31" bestFit="1" customWidth="1"/>
    <col min="291" max="291" width="16.375" style="31" bestFit="1" customWidth="1"/>
    <col min="292" max="292" width="10.625" style="31" bestFit="1" customWidth="1"/>
    <col min="293" max="293" width="12.875" style="31" bestFit="1" customWidth="1"/>
    <col min="294" max="294" width="17.75" style="31" bestFit="1" customWidth="1"/>
    <col min="295" max="295" width="11.875" style="31" bestFit="1" customWidth="1"/>
    <col min="296" max="296" width="19.25" style="31" bestFit="1" customWidth="1"/>
    <col min="297" max="297" width="11.875" style="31" bestFit="1" customWidth="1"/>
    <col min="298" max="298" width="20.75" style="31" bestFit="1" customWidth="1"/>
    <col min="299" max="299" width="24.75" style="31" bestFit="1" customWidth="1"/>
    <col min="300" max="301" width="27.25" style="31" bestFit="1" customWidth="1"/>
    <col min="302" max="302" width="8.125" style="31"/>
    <col min="303" max="303" width="8" style="31" bestFit="1" customWidth="1"/>
    <col min="304" max="304" width="10" style="31" bestFit="1" customWidth="1"/>
    <col min="305" max="305" width="9" style="31" bestFit="1" customWidth="1"/>
    <col min="306" max="306" width="9.625" style="31" bestFit="1" customWidth="1"/>
    <col min="307" max="307" width="9" style="31" bestFit="1" customWidth="1"/>
    <col min="308" max="308" width="8.125" style="31"/>
    <col min="309" max="309" width="16.25" style="31" customWidth="1"/>
    <col min="310" max="313" width="14.125" style="31" customWidth="1"/>
    <col min="314" max="314" width="23.375" style="31" customWidth="1"/>
    <col min="315" max="315" width="14.125" style="31" customWidth="1"/>
    <col min="316" max="512" width="8.125" style="31"/>
    <col min="513" max="513" width="3" style="31" bestFit="1" customWidth="1"/>
    <col min="514" max="514" width="8.25" style="31" bestFit="1" customWidth="1"/>
    <col min="515" max="515" width="28.25" style="31" bestFit="1" customWidth="1"/>
    <col min="516" max="516" width="13.75" style="31" bestFit="1" customWidth="1"/>
    <col min="517" max="517" width="12.875" style="31" bestFit="1" customWidth="1"/>
    <col min="518" max="518" width="19.375" style="31" bestFit="1" customWidth="1"/>
    <col min="519" max="519" width="14.125" style="31" bestFit="1" customWidth="1"/>
    <col min="520" max="520" width="16.625" style="31" bestFit="1" customWidth="1"/>
    <col min="521" max="521" width="11.875" style="31" bestFit="1" customWidth="1"/>
    <col min="522" max="524" width="23.625" style="31" bestFit="1" customWidth="1"/>
    <col min="525" max="527" width="24.625" style="31" bestFit="1" customWidth="1"/>
    <col min="528" max="528" width="24" style="31" bestFit="1" customWidth="1"/>
    <col min="529" max="529" width="23.375" style="31" bestFit="1" customWidth="1"/>
    <col min="530" max="531" width="23.625" style="31" bestFit="1" customWidth="1"/>
    <col min="532" max="533" width="24.625" style="31" bestFit="1" customWidth="1"/>
    <col min="534" max="534" width="24" style="31" bestFit="1" customWidth="1"/>
    <col min="535" max="535" width="23.375" style="31" bestFit="1" customWidth="1"/>
    <col min="536" max="537" width="18" style="31" bestFit="1" customWidth="1"/>
    <col min="538" max="538" width="17" style="31" bestFit="1" customWidth="1"/>
    <col min="539" max="539" width="13.25" style="31" bestFit="1" customWidth="1"/>
    <col min="540" max="542" width="14.125" style="31" bestFit="1" customWidth="1"/>
    <col min="543" max="544" width="27.25" style="31" bestFit="1" customWidth="1"/>
    <col min="545" max="545" width="22.875" style="31" bestFit="1" customWidth="1"/>
    <col min="546" max="546" width="30.25" style="31" bestFit="1" customWidth="1"/>
    <col min="547" max="547" width="16.375" style="31" bestFit="1" customWidth="1"/>
    <col min="548" max="548" width="10.625" style="31" bestFit="1" customWidth="1"/>
    <col min="549" max="549" width="12.875" style="31" bestFit="1" customWidth="1"/>
    <col min="550" max="550" width="17.75" style="31" bestFit="1" customWidth="1"/>
    <col min="551" max="551" width="11.875" style="31" bestFit="1" customWidth="1"/>
    <col min="552" max="552" width="19.25" style="31" bestFit="1" customWidth="1"/>
    <col min="553" max="553" width="11.875" style="31" bestFit="1" customWidth="1"/>
    <col min="554" max="554" width="20.75" style="31" bestFit="1" customWidth="1"/>
    <col min="555" max="555" width="24.75" style="31" bestFit="1" customWidth="1"/>
    <col min="556" max="557" width="27.25" style="31" bestFit="1" customWidth="1"/>
    <col min="558" max="558" width="8.125" style="31"/>
    <col min="559" max="559" width="8" style="31" bestFit="1" customWidth="1"/>
    <col min="560" max="560" width="10" style="31" bestFit="1" customWidth="1"/>
    <col min="561" max="561" width="9" style="31" bestFit="1" customWidth="1"/>
    <col min="562" max="562" width="9.625" style="31" bestFit="1" customWidth="1"/>
    <col min="563" max="563" width="9" style="31" bestFit="1" customWidth="1"/>
    <col min="564" max="564" width="8.125" style="31"/>
    <col min="565" max="565" width="16.25" style="31" customWidth="1"/>
    <col min="566" max="569" width="14.125" style="31" customWidth="1"/>
    <col min="570" max="570" width="23.375" style="31" customWidth="1"/>
    <col min="571" max="571" width="14.125" style="31" customWidth="1"/>
    <col min="572" max="768" width="8.125" style="31"/>
    <col min="769" max="769" width="3" style="31" bestFit="1" customWidth="1"/>
    <col min="770" max="770" width="8.25" style="31" bestFit="1" customWidth="1"/>
    <col min="771" max="771" width="28.25" style="31" bestFit="1" customWidth="1"/>
    <col min="772" max="772" width="13.75" style="31" bestFit="1" customWidth="1"/>
    <col min="773" max="773" width="12.875" style="31" bestFit="1" customWidth="1"/>
    <col min="774" max="774" width="19.375" style="31" bestFit="1" customWidth="1"/>
    <col min="775" max="775" width="14.125" style="31" bestFit="1" customWidth="1"/>
    <col min="776" max="776" width="16.625" style="31" bestFit="1" customWidth="1"/>
    <col min="777" max="777" width="11.875" style="31" bestFit="1" customWidth="1"/>
    <col min="778" max="780" width="23.625" style="31" bestFit="1" customWidth="1"/>
    <col min="781" max="783" width="24.625" style="31" bestFit="1" customWidth="1"/>
    <col min="784" max="784" width="24" style="31" bestFit="1" customWidth="1"/>
    <col min="785" max="785" width="23.375" style="31" bestFit="1" customWidth="1"/>
    <col min="786" max="787" width="23.625" style="31" bestFit="1" customWidth="1"/>
    <col min="788" max="789" width="24.625" style="31" bestFit="1" customWidth="1"/>
    <col min="790" max="790" width="24" style="31" bestFit="1" customWidth="1"/>
    <col min="791" max="791" width="23.375" style="31" bestFit="1" customWidth="1"/>
    <col min="792" max="793" width="18" style="31" bestFit="1" customWidth="1"/>
    <col min="794" max="794" width="17" style="31" bestFit="1" customWidth="1"/>
    <col min="795" max="795" width="13.25" style="31" bestFit="1" customWidth="1"/>
    <col min="796" max="798" width="14.125" style="31" bestFit="1" customWidth="1"/>
    <col min="799" max="800" width="27.25" style="31" bestFit="1" customWidth="1"/>
    <col min="801" max="801" width="22.875" style="31" bestFit="1" customWidth="1"/>
    <col min="802" max="802" width="30.25" style="31" bestFit="1" customWidth="1"/>
    <col min="803" max="803" width="16.375" style="31" bestFit="1" customWidth="1"/>
    <col min="804" max="804" width="10.625" style="31" bestFit="1" customWidth="1"/>
    <col min="805" max="805" width="12.875" style="31" bestFit="1" customWidth="1"/>
    <col min="806" max="806" width="17.75" style="31" bestFit="1" customWidth="1"/>
    <col min="807" max="807" width="11.875" style="31" bestFit="1" customWidth="1"/>
    <col min="808" max="808" width="19.25" style="31" bestFit="1" customWidth="1"/>
    <col min="809" max="809" width="11.875" style="31" bestFit="1" customWidth="1"/>
    <col min="810" max="810" width="20.75" style="31" bestFit="1" customWidth="1"/>
    <col min="811" max="811" width="24.75" style="31" bestFit="1" customWidth="1"/>
    <col min="812" max="813" width="27.25" style="31" bestFit="1" customWidth="1"/>
    <col min="814" max="814" width="8.125" style="31"/>
    <col min="815" max="815" width="8" style="31" bestFit="1" customWidth="1"/>
    <col min="816" max="816" width="10" style="31" bestFit="1" customWidth="1"/>
    <col min="817" max="817" width="9" style="31" bestFit="1" customWidth="1"/>
    <col min="818" max="818" width="9.625" style="31" bestFit="1" customWidth="1"/>
    <col min="819" max="819" width="9" style="31" bestFit="1" customWidth="1"/>
    <col min="820" max="820" width="8.125" style="31"/>
    <col min="821" max="821" width="16.25" style="31" customWidth="1"/>
    <col min="822" max="825" width="14.125" style="31" customWidth="1"/>
    <col min="826" max="826" width="23.375" style="31" customWidth="1"/>
    <col min="827" max="827" width="14.125" style="31" customWidth="1"/>
    <col min="828" max="1024" width="8.125" style="31"/>
    <col min="1025" max="1025" width="3" style="31" bestFit="1" customWidth="1"/>
    <col min="1026" max="1026" width="8.25" style="31" bestFit="1" customWidth="1"/>
    <col min="1027" max="1027" width="28.25" style="31" bestFit="1" customWidth="1"/>
    <col min="1028" max="1028" width="13.75" style="31" bestFit="1" customWidth="1"/>
    <col min="1029" max="1029" width="12.875" style="31" bestFit="1" customWidth="1"/>
    <col min="1030" max="1030" width="19.375" style="31" bestFit="1" customWidth="1"/>
    <col min="1031" max="1031" width="14.125" style="31" bestFit="1" customWidth="1"/>
    <col min="1032" max="1032" width="16.625" style="31" bestFit="1" customWidth="1"/>
    <col min="1033" max="1033" width="11.875" style="31" bestFit="1" customWidth="1"/>
    <col min="1034" max="1036" width="23.625" style="31" bestFit="1" customWidth="1"/>
    <col min="1037" max="1039" width="24.625" style="31" bestFit="1" customWidth="1"/>
    <col min="1040" max="1040" width="24" style="31" bestFit="1" customWidth="1"/>
    <col min="1041" max="1041" width="23.375" style="31" bestFit="1" customWidth="1"/>
    <col min="1042" max="1043" width="23.625" style="31" bestFit="1" customWidth="1"/>
    <col min="1044" max="1045" width="24.625" style="31" bestFit="1" customWidth="1"/>
    <col min="1046" max="1046" width="24" style="31" bestFit="1" customWidth="1"/>
    <col min="1047" max="1047" width="23.375" style="31" bestFit="1" customWidth="1"/>
    <col min="1048" max="1049" width="18" style="31" bestFit="1" customWidth="1"/>
    <col min="1050" max="1050" width="17" style="31" bestFit="1" customWidth="1"/>
    <col min="1051" max="1051" width="13.25" style="31" bestFit="1" customWidth="1"/>
    <col min="1052" max="1054" width="14.125" style="31" bestFit="1" customWidth="1"/>
    <col min="1055" max="1056" width="27.25" style="31" bestFit="1" customWidth="1"/>
    <col min="1057" max="1057" width="22.875" style="31" bestFit="1" customWidth="1"/>
    <col min="1058" max="1058" width="30.25" style="31" bestFit="1" customWidth="1"/>
    <col min="1059" max="1059" width="16.375" style="31" bestFit="1" customWidth="1"/>
    <col min="1060" max="1060" width="10.625" style="31" bestFit="1" customWidth="1"/>
    <col min="1061" max="1061" width="12.875" style="31" bestFit="1" customWidth="1"/>
    <col min="1062" max="1062" width="17.75" style="31" bestFit="1" customWidth="1"/>
    <col min="1063" max="1063" width="11.875" style="31" bestFit="1" customWidth="1"/>
    <col min="1064" max="1064" width="19.25" style="31" bestFit="1" customWidth="1"/>
    <col min="1065" max="1065" width="11.875" style="31" bestFit="1" customWidth="1"/>
    <col min="1066" max="1066" width="20.75" style="31" bestFit="1" customWidth="1"/>
    <col min="1067" max="1067" width="24.75" style="31" bestFit="1" customWidth="1"/>
    <col min="1068" max="1069" width="27.25" style="31" bestFit="1" customWidth="1"/>
    <col min="1070" max="1070" width="8.125" style="31"/>
    <col min="1071" max="1071" width="8" style="31" bestFit="1" customWidth="1"/>
    <col min="1072" max="1072" width="10" style="31" bestFit="1" customWidth="1"/>
    <col min="1073" max="1073" width="9" style="31" bestFit="1" customWidth="1"/>
    <col min="1074" max="1074" width="9.625" style="31" bestFit="1" customWidth="1"/>
    <col min="1075" max="1075" width="9" style="31" bestFit="1" customWidth="1"/>
    <col min="1076" max="1076" width="8.125" style="31"/>
    <col min="1077" max="1077" width="16.25" style="31" customWidth="1"/>
    <col min="1078" max="1081" width="14.125" style="31" customWidth="1"/>
    <col min="1082" max="1082" width="23.375" style="31" customWidth="1"/>
    <col min="1083" max="1083" width="14.125" style="31" customWidth="1"/>
    <col min="1084" max="1280" width="8.125" style="31"/>
    <col min="1281" max="1281" width="3" style="31" bestFit="1" customWidth="1"/>
    <col min="1282" max="1282" width="8.25" style="31" bestFit="1" customWidth="1"/>
    <col min="1283" max="1283" width="28.25" style="31" bestFit="1" customWidth="1"/>
    <col min="1284" max="1284" width="13.75" style="31" bestFit="1" customWidth="1"/>
    <col min="1285" max="1285" width="12.875" style="31" bestFit="1" customWidth="1"/>
    <col min="1286" max="1286" width="19.375" style="31" bestFit="1" customWidth="1"/>
    <col min="1287" max="1287" width="14.125" style="31" bestFit="1" customWidth="1"/>
    <col min="1288" max="1288" width="16.625" style="31" bestFit="1" customWidth="1"/>
    <col min="1289" max="1289" width="11.875" style="31" bestFit="1" customWidth="1"/>
    <col min="1290" max="1292" width="23.625" style="31" bestFit="1" customWidth="1"/>
    <col min="1293" max="1295" width="24.625" style="31" bestFit="1" customWidth="1"/>
    <col min="1296" max="1296" width="24" style="31" bestFit="1" customWidth="1"/>
    <col min="1297" max="1297" width="23.375" style="31" bestFit="1" customWidth="1"/>
    <col min="1298" max="1299" width="23.625" style="31" bestFit="1" customWidth="1"/>
    <col min="1300" max="1301" width="24.625" style="31" bestFit="1" customWidth="1"/>
    <col min="1302" max="1302" width="24" style="31" bestFit="1" customWidth="1"/>
    <col min="1303" max="1303" width="23.375" style="31" bestFit="1" customWidth="1"/>
    <col min="1304" max="1305" width="18" style="31" bestFit="1" customWidth="1"/>
    <col min="1306" max="1306" width="17" style="31" bestFit="1" customWidth="1"/>
    <col min="1307" max="1307" width="13.25" style="31" bestFit="1" customWidth="1"/>
    <col min="1308" max="1310" width="14.125" style="31" bestFit="1" customWidth="1"/>
    <col min="1311" max="1312" width="27.25" style="31" bestFit="1" customWidth="1"/>
    <col min="1313" max="1313" width="22.875" style="31" bestFit="1" customWidth="1"/>
    <col min="1314" max="1314" width="30.25" style="31" bestFit="1" customWidth="1"/>
    <col min="1315" max="1315" width="16.375" style="31" bestFit="1" customWidth="1"/>
    <col min="1316" max="1316" width="10.625" style="31" bestFit="1" customWidth="1"/>
    <col min="1317" max="1317" width="12.875" style="31" bestFit="1" customWidth="1"/>
    <col min="1318" max="1318" width="17.75" style="31" bestFit="1" customWidth="1"/>
    <col min="1319" max="1319" width="11.875" style="31" bestFit="1" customWidth="1"/>
    <col min="1320" max="1320" width="19.25" style="31" bestFit="1" customWidth="1"/>
    <col min="1321" max="1321" width="11.875" style="31" bestFit="1" customWidth="1"/>
    <col min="1322" max="1322" width="20.75" style="31" bestFit="1" customWidth="1"/>
    <col min="1323" max="1323" width="24.75" style="31" bestFit="1" customWidth="1"/>
    <col min="1324" max="1325" width="27.25" style="31" bestFit="1" customWidth="1"/>
    <col min="1326" max="1326" width="8.125" style="31"/>
    <col min="1327" max="1327" width="8" style="31" bestFit="1" customWidth="1"/>
    <col min="1328" max="1328" width="10" style="31" bestFit="1" customWidth="1"/>
    <col min="1329" max="1329" width="9" style="31" bestFit="1" customWidth="1"/>
    <col min="1330" max="1330" width="9.625" style="31" bestFit="1" customWidth="1"/>
    <col min="1331" max="1331" width="9" style="31" bestFit="1" customWidth="1"/>
    <col min="1332" max="1332" width="8.125" style="31"/>
    <col min="1333" max="1333" width="16.25" style="31" customWidth="1"/>
    <col min="1334" max="1337" width="14.125" style="31" customWidth="1"/>
    <col min="1338" max="1338" width="23.375" style="31" customWidth="1"/>
    <col min="1339" max="1339" width="14.125" style="31" customWidth="1"/>
    <col min="1340" max="1536" width="8.125" style="31"/>
    <col min="1537" max="1537" width="3" style="31" bestFit="1" customWidth="1"/>
    <col min="1538" max="1538" width="8.25" style="31" bestFit="1" customWidth="1"/>
    <col min="1539" max="1539" width="28.25" style="31" bestFit="1" customWidth="1"/>
    <col min="1540" max="1540" width="13.75" style="31" bestFit="1" customWidth="1"/>
    <col min="1541" max="1541" width="12.875" style="31" bestFit="1" customWidth="1"/>
    <col min="1542" max="1542" width="19.375" style="31" bestFit="1" customWidth="1"/>
    <col min="1543" max="1543" width="14.125" style="31" bestFit="1" customWidth="1"/>
    <col min="1544" max="1544" width="16.625" style="31" bestFit="1" customWidth="1"/>
    <col min="1545" max="1545" width="11.875" style="31" bestFit="1" customWidth="1"/>
    <col min="1546" max="1548" width="23.625" style="31" bestFit="1" customWidth="1"/>
    <col min="1549" max="1551" width="24.625" style="31" bestFit="1" customWidth="1"/>
    <col min="1552" max="1552" width="24" style="31" bestFit="1" customWidth="1"/>
    <col min="1553" max="1553" width="23.375" style="31" bestFit="1" customWidth="1"/>
    <col min="1554" max="1555" width="23.625" style="31" bestFit="1" customWidth="1"/>
    <col min="1556" max="1557" width="24.625" style="31" bestFit="1" customWidth="1"/>
    <col min="1558" max="1558" width="24" style="31" bestFit="1" customWidth="1"/>
    <col min="1559" max="1559" width="23.375" style="31" bestFit="1" customWidth="1"/>
    <col min="1560" max="1561" width="18" style="31" bestFit="1" customWidth="1"/>
    <col min="1562" max="1562" width="17" style="31" bestFit="1" customWidth="1"/>
    <col min="1563" max="1563" width="13.25" style="31" bestFit="1" customWidth="1"/>
    <col min="1564" max="1566" width="14.125" style="31" bestFit="1" customWidth="1"/>
    <col min="1567" max="1568" width="27.25" style="31" bestFit="1" customWidth="1"/>
    <col min="1569" max="1569" width="22.875" style="31" bestFit="1" customWidth="1"/>
    <col min="1570" max="1570" width="30.25" style="31" bestFit="1" customWidth="1"/>
    <col min="1571" max="1571" width="16.375" style="31" bestFit="1" customWidth="1"/>
    <col min="1572" max="1572" width="10.625" style="31" bestFit="1" customWidth="1"/>
    <col min="1573" max="1573" width="12.875" style="31" bestFit="1" customWidth="1"/>
    <col min="1574" max="1574" width="17.75" style="31" bestFit="1" customWidth="1"/>
    <col min="1575" max="1575" width="11.875" style="31" bestFit="1" customWidth="1"/>
    <col min="1576" max="1576" width="19.25" style="31" bestFit="1" customWidth="1"/>
    <col min="1577" max="1577" width="11.875" style="31" bestFit="1" customWidth="1"/>
    <col min="1578" max="1578" width="20.75" style="31" bestFit="1" customWidth="1"/>
    <col min="1579" max="1579" width="24.75" style="31" bestFit="1" customWidth="1"/>
    <col min="1580" max="1581" width="27.25" style="31" bestFit="1" customWidth="1"/>
    <col min="1582" max="1582" width="8.125" style="31"/>
    <col min="1583" max="1583" width="8" style="31" bestFit="1" customWidth="1"/>
    <col min="1584" max="1584" width="10" style="31" bestFit="1" customWidth="1"/>
    <col min="1585" max="1585" width="9" style="31" bestFit="1" customWidth="1"/>
    <col min="1586" max="1586" width="9.625" style="31" bestFit="1" customWidth="1"/>
    <col min="1587" max="1587" width="9" style="31" bestFit="1" customWidth="1"/>
    <col min="1588" max="1588" width="8.125" style="31"/>
    <col min="1589" max="1589" width="16.25" style="31" customWidth="1"/>
    <col min="1590" max="1593" width="14.125" style="31" customWidth="1"/>
    <col min="1594" max="1594" width="23.375" style="31" customWidth="1"/>
    <col min="1595" max="1595" width="14.125" style="31" customWidth="1"/>
    <col min="1596" max="1792" width="8.125" style="31"/>
    <col min="1793" max="1793" width="3" style="31" bestFit="1" customWidth="1"/>
    <col min="1794" max="1794" width="8.25" style="31" bestFit="1" customWidth="1"/>
    <col min="1795" max="1795" width="28.25" style="31" bestFit="1" customWidth="1"/>
    <col min="1796" max="1796" width="13.75" style="31" bestFit="1" customWidth="1"/>
    <col min="1797" max="1797" width="12.875" style="31" bestFit="1" customWidth="1"/>
    <col min="1798" max="1798" width="19.375" style="31" bestFit="1" customWidth="1"/>
    <col min="1799" max="1799" width="14.125" style="31" bestFit="1" customWidth="1"/>
    <col min="1800" max="1800" width="16.625" style="31" bestFit="1" customWidth="1"/>
    <col min="1801" max="1801" width="11.875" style="31" bestFit="1" customWidth="1"/>
    <col min="1802" max="1804" width="23.625" style="31" bestFit="1" customWidth="1"/>
    <col min="1805" max="1807" width="24.625" style="31" bestFit="1" customWidth="1"/>
    <col min="1808" max="1808" width="24" style="31" bestFit="1" customWidth="1"/>
    <col min="1809" max="1809" width="23.375" style="31" bestFit="1" customWidth="1"/>
    <col min="1810" max="1811" width="23.625" style="31" bestFit="1" customWidth="1"/>
    <col min="1812" max="1813" width="24.625" style="31" bestFit="1" customWidth="1"/>
    <col min="1814" max="1814" width="24" style="31" bestFit="1" customWidth="1"/>
    <col min="1815" max="1815" width="23.375" style="31" bestFit="1" customWidth="1"/>
    <col min="1816" max="1817" width="18" style="31" bestFit="1" customWidth="1"/>
    <col min="1818" max="1818" width="17" style="31" bestFit="1" customWidth="1"/>
    <col min="1819" max="1819" width="13.25" style="31" bestFit="1" customWidth="1"/>
    <col min="1820" max="1822" width="14.125" style="31" bestFit="1" customWidth="1"/>
    <col min="1823" max="1824" width="27.25" style="31" bestFit="1" customWidth="1"/>
    <col min="1825" max="1825" width="22.875" style="31" bestFit="1" customWidth="1"/>
    <col min="1826" max="1826" width="30.25" style="31" bestFit="1" customWidth="1"/>
    <col min="1827" max="1827" width="16.375" style="31" bestFit="1" customWidth="1"/>
    <col min="1828" max="1828" width="10.625" style="31" bestFit="1" customWidth="1"/>
    <col min="1829" max="1829" width="12.875" style="31" bestFit="1" customWidth="1"/>
    <col min="1830" max="1830" width="17.75" style="31" bestFit="1" customWidth="1"/>
    <col min="1831" max="1831" width="11.875" style="31" bestFit="1" customWidth="1"/>
    <col min="1832" max="1832" width="19.25" style="31" bestFit="1" customWidth="1"/>
    <col min="1833" max="1833" width="11.875" style="31" bestFit="1" customWidth="1"/>
    <col min="1834" max="1834" width="20.75" style="31" bestFit="1" customWidth="1"/>
    <col min="1835" max="1835" width="24.75" style="31" bestFit="1" customWidth="1"/>
    <col min="1836" max="1837" width="27.25" style="31" bestFit="1" customWidth="1"/>
    <col min="1838" max="1838" width="8.125" style="31"/>
    <col min="1839" max="1839" width="8" style="31" bestFit="1" customWidth="1"/>
    <col min="1840" max="1840" width="10" style="31" bestFit="1" customWidth="1"/>
    <col min="1841" max="1841" width="9" style="31" bestFit="1" customWidth="1"/>
    <col min="1842" max="1842" width="9.625" style="31" bestFit="1" customWidth="1"/>
    <col min="1843" max="1843" width="9" style="31" bestFit="1" customWidth="1"/>
    <col min="1844" max="1844" width="8.125" style="31"/>
    <col min="1845" max="1845" width="16.25" style="31" customWidth="1"/>
    <col min="1846" max="1849" width="14.125" style="31" customWidth="1"/>
    <col min="1850" max="1850" width="23.375" style="31" customWidth="1"/>
    <col min="1851" max="1851" width="14.125" style="31" customWidth="1"/>
    <col min="1852" max="2048" width="8.125" style="31"/>
    <col min="2049" max="2049" width="3" style="31" bestFit="1" customWidth="1"/>
    <col min="2050" max="2050" width="8.25" style="31" bestFit="1" customWidth="1"/>
    <col min="2051" max="2051" width="28.25" style="31" bestFit="1" customWidth="1"/>
    <col min="2052" max="2052" width="13.75" style="31" bestFit="1" customWidth="1"/>
    <col min="2053" max="2053" width="12.875" style="31" bestFit="1" customWidth="1"/>
    <col min="2054" max="2054" width="19.375" style="31" bestFit="1" customWidth="1"/>
    <col min="2055" max="2055" width="14.125" style="31" bestFit="1" customWidth="1"/>
    <col min="2056" max="2056" width="16.625" style="31" bestFit="1" customWidth="1"/>
    <col min="2057" max="2057" width="11.875" style="31" bestFit="1" customWidth="1"/>
    <col min="2058" max="2060" width="23.625" style="31" bestFit="1" customWidth="1"/>
    <col min="2061" max="2063" width="24.625" style="31" bestFit="1" customWidth="1"/>
    <col min="2064" max="2064" width="24" style="31" bestFit="1" customWidth="1"/>
    <col min="2065" max="2065" width="23.375" style="31" bestFit="1" customWidth="1"/>
    <col min="2066" max="2067" width="23.625" style="31" bestFit="1" customWidth="1"/>
    <col min="2068" max="2069" width="24.625" style="31" bestFit="1" customWidth="1"/>
    <col min="2070" max="2070" width="24" style="31" bestFit="1" customWidth="1"/>
    <col min="2071" max="2071" width="23.375" style="31" bestFit="1" customWidth="1"/>
    <col min="2072" max="2073" width="18" style="31" bestFit="1" customWidth="1"/>
    <col min="2074" max="2074" width="17" style="31" bestFit="1" customWidth="1"/>
    <col min="2075" max="2075" width="13.25" style="31" bestFit="1" customWidth="1"/>
    <col min="2076" max="2078" width="14.125" style="31" bestFit="1" customWidth="1"/>
    <col min="2079" max="2080" width="27.25" style="31" bestFit="1" customWidth="1"/>
    <col min="2081" max="2081" width="22.875" style="31" bestFit="1" customWidth="1"/>
    <col min="2082" max="2082" width="30.25" style="31" bestFit="1" customWidth="1"/>
    <col min="2083" max="2083" width="16.375" style="31" bestFit="1" customWidth="1"/>
    <col min="2084" max="2084" width="10.625" style="31" bestFit="1" customWidth="1"/>
    <col min="2085" max="2085" width="12.875" style="31" bestFit="1" customWidth="1"/>
    <col min="2086" max="2086" width="17.75" style="31" bestFit="1" customWidth="1"/>
    <col min="2087" max="2087" width="11.875" style="31" bestFit="1" customWidth="1"/>
    <col min="2088" max="2088" width="19.25" style="31" bestFit="1" customWidth="1"/>
    <col min="2089" max="2089" width="11.875" style="31" bestFit="1" customWidth="1"/>
    <col min="2090" max="2090" width="20.75" style="31" bestFit="1" customWidth="1"/>
    <col min="2091" max="2091" width="24.75" style="31" bestFit="1" customWidth="1"/>
    <col min="2092" max="2093" width="27.25" style="31" bestFit="1" customWidth="1"/>
    <col min="2094" max="2094" width="8.125" style="31"/>
    <col min="2095" max="2095" width="8" style="31" bestFit="1" customWidth="1"/>
    <col min="2096" max="2096" width="10" style="31" bestFit="1" customWidth="1"/>
    <col min="2097" max="2097" width="9" style="31" bestFit="1" customWidth="1"/>
    <col min="2098" max="2098" width="9.625" style="31" bestFit="1" customWidth="1"/>
    <col min="2099" max="2099" width="9" style="31" bestFit="1" customWidth="1"/>
    <col min="2100" max="2100" width="8.125" style="31"/>
    <col min="2101" max="2101" width="16.25" style="31" customWidth="1"/>
    <col min="2102" max="2105" width="14.125" style="31" customWidth="1"/>
    <col min="2106" max="2106" width="23.375" style="31" customWidth="1"/>
    <col min="2107" max="2107" width="14.125" style="31" customWidth="1"/>
    <col min="2108" max="2304" width="8.125" style="31"/>
    <col min="2305" max="2305" width="3" style="31" bestFit="1" customWidth="1"/>
    <col min="2306" max="2306" width="8.25" style="31" bestFit="1" customWidth="1"/>
    <col min="2307" max="2307" width="28.25" style="31" bestFit="1" customWidth="1"/>
    <col min="2308" max="2308" width="13.75" style="31" bestFit="1" customWidth="1"/>
    <col min="2309" max="2309" width="12.875" style="31" bestFit="1" customWidth="1"/>
    <col min="2310" max="2310" width="19.375" style="31" bestFit="1" customWidth="1"/>
    <col min="2311" max="2311" width="14.125" style="31" bestFit="1" customWidth="1"/>
    <col min="2312" max="2312" width="16.625" style="31" bestFit="1" customWidth="1"/>
    <col min="2313" max="2313" width="11.875" style="31" bestFit="1" customWidth="1"/>
    <col min="2314" max="2316" width="23.625" style="31" bestFit="1" customWidth="1"/>
    <col min="2317" max="2319" width="24.625" style="31" bestFit="1" customWidth="1"/>
    <col min="2320" max="2320" width="24" style="31" bestFit="1" customWidth="1"/>
    <col min="2321" max="2321" width="23.375" style="31" bestFit="1" customWidth="1"/>
    <col min="2322" max="2323" width="23.625" style="31" bestFit="1" customWidth="1"/>
    <col min="2324" max="2325" width="24.625" style="31" bestFit="1" customWidth="1"/>
    <col min="2326" max="2326" width="24" style="31" bestFit="1" customWidth="1"/>
    <col min="2327" max="2327" width="23.375" style="31" bestFit="1" customWidth="1"/>
    <col min="2328" max="2329" width="18" style="31" bestFit="1" customWidth="1"/>
    <col min="2330" max="2330" width="17" style="31" bestFit="1" customWidth="1"/>
    <col min="2331" max="2331" width="13.25" style="31" bestFit="1" customWidth="1"/>
    <col min="2332" max="2334" width="14.125" style="31" bestFit="1" customWidth="1"/>
    <col min="2335" max="2336" width="27.25" style="31" bestFit="1" customWidth="1"/>
    <col min="2337" max="2337" width="22.875" style="31" bestFit="1" customWidth="1"/>
    <col min="2338" max="2338" width="30.25" style="31" bestFit="1" customWidth="1"/>
    <col min="2339" max="2339" width="16.375" style="31" bestFit="1" customWidth="1"/>
    <col min="2340" max="2340" width="10.625" style="31" bestFit="1" customWidth="1"/>
    <col min="2341" max="2341" width="12.875" style="31" bestFit="1" customWidth="1"/>
    <col min="2342" max="2342" width="17.75" style="31" bestFit="1" customWidth="1"/>
    <col min="2343" max="2343" width="11.875" style="31" bestFit="1" customWidth="1"/>
    <col min="2344" max="2344" width="19.25" style="31" bestFit="1" customWidth="1"/>
    <col min="2345" max="2345" width="11.875" style="31" bestFit="1" customWidth="1"/>
    <col min="2346" max="2346" width="20.75" style="31" bestFit="1" customWidth="1"/>
    <col min="2347" max="2347" width="24.75" style="31" bestFit="1" customWidth="1"/>
    <col min="2348" max="2349" width="27.25" style="31" bestFit="1" customWidth="1"/>
    <col min="2350" max="2350" width="8.125" style="31"/>
    <col min="2351" max="2351" width="8" style="31" bestFit="1" customWidth="1"/>
    <col min="2352" max="2352" width="10" style="31" bestFit="1" customWidth="1"/>
    <col min="2353" max="2353" width="9" style="31" bestFit="1" customWidth="1"/>
    <col min="2354" max="2354" width="9.625" style="31" bestFit="1" customWidth="1"/>
    <col min="2355" max="2355" width="9" style="31" bestFit="1" customWidth="1"/>
    <col min="2356" max="2356" width="8.125" style="31"/>
    <col min="2357" max="2357" width="16.25" style="31" customWidth="1"/>
    <col min="2358" max="2361" width="14.125" style="31" customWidth="1"/>
    <col min="2362" max="2362" width="23.375" style="31" customWidth="1"/>
    <col min="2363" max="2363" width="14.125" style="31" customWidth="1"/>
    <col min="2364" max="2560" width="8.125" style="31"/>
    <col min="2561" max="2561" width="3" style="31" bestFit="1" customWidth="1"/>
    <col min="2562" max="2562" width="8.25" style="31" bestFit="1" customWidth="1"/>
    <col min="2563" max="2563" width="28.25" style="31" bestFit="1" customWidth="1"/>
    <col min="2564" max="2564" width="13.75" style="31" bestFit="1" customWidth="1"/>
    <col min="2565" max="2565" width="12.875" style="31" bestFit="1" customWidth="1"/>
    <col min="2566" max="2566" width="19.375" style="31" bestFit="1" customWidth="1"/>
    <col min="2567" max="2567" width="14.125" style="31" bestFit="1" customWidth="1"/>
    <col min="2568" max="2568" width="16.625" style="31" bestFit="1" customWidth="1"/>
    <col min="2569" max="2569" width="11.875" style="31" bestFit="1" customWidth="1"/>
    <col min="2570" max="2572" width="23.625" style="31" bestFit="1" customWidth="1"/>
    <col min="2573" max="2575" width="24.625" style="31" bestFit="1" customWidth="1"/>
    <col min="2576" max="2576" width="24" style="31" bestFit="1" customWidth="1"/>
    <col min="2577" max="2577" width="23.375" style="31" bestFit="1" customWidth="1"/>
    <col min="2578" max="2579" width="23.625" style="31" bestFit="1" customWidth="1"/>
    <col min="2580" max="2581" width="24.625" style="31" bestFit="1" customWidth="1"/>
    <col min="2582" max="2582" width="24" style="31" bestFit="1" customWidth="1"/>
    <col min="2583" max="2583" width="23.375" style="31" bestFit="1" customWidth="1"/>
    <col min="2584" max="2585" width="18" style="31" bestFit="1" customWidth="1"/>
    <col min="2586" max="2586" width="17" style="31" bestFit="1" customWidth="1"/>
    <col min="2587" max="2587" width="13.25" style="31" bestFit="1" customWidth="1"/>
    <col min="2588" max="2590" width="14.125" style="31" bestFit="1" customWidth="1"/>
    <col min="2591" max="2592" width="27.25" style="31" bestFit="1" customWidth="1"/>
    <col min="2593" max="2593" width="22.875" style="31" bestFit="1" customWidth="1"/>
    <col min="2594" max="2594" width="30.25" style="31" bestFit="1" customWidth="1"/>
    <col min="2595" max="2595" width="16.375" style="31" bestFit="1" customWidth="1"/>
    <col min="2596" max="2596" width="10.625" style="31" bestFit="1" customWidth="1"/>
    <col min="2597" max="2597" width="12.875" style="31" bestFit="1" customWidth="1"/>
    <col min="2598" max="2598" width="17.75" style="31" bestFit="1" customWidth="1"/>
    <col min="2599" max="2599" width="11.875" style="31" bestFit="1" customWidth="1"/>
    <col min="2600" max="2600" width="19.25" style="31" bestFit="1" customWidth="1"/>
    <col min="2601" max="2601" width="11.875" style="31" bestFit="1" customWidth="1"/>
    <col min="2602" max="2602" width="20.75" style="31" bestFit="1" customWidth="1"/>
    <col min="2603" max="2603" width="24.75" style="31" bestFit="1" customWidth="1"/>
    <col min="2604" max="2605" width="27.25" style="31" bestFit="1" customWidth="1"/>
    <col min="2606" max="2606" width="8.125" style="31"/>
    <col min="2607" max="2607" width="8" style="31" bestFit="1" customWidth="1"/>
    <col min="2608" max="2608" width="10" style="31" bestFit="1" customWidth="1"/>
    <col min="2609" max="2609" width="9" style="31" bestFit="1" customWidth="1"/>
    <col min="2610" max="2610" width="9.625" style="31" bestFit="1" customWidth="1"/>
    <col min="2611" max="2611" width="9" style="31" bestFit="1" customWidth="1"/>
    <col min="2612" max="2612" width="8.125" style="31"/>
    <col min="2613" max="2613" width="16.25" style="31" customWidth="1"/>
    <col min="2614" max="2617" width="14.125" style="31" customWidth="1"/>
    <col min="2618" max="2618" width="23.375" style="31" customWidth="1"/>
    <col min="2619" max="2619" width="14.125" style="31" customWidth="1"/>
    <col min="2620" max="2816" width="8.125" style="31"/>
    <col min="2817" max="2817" width="3" style="31" bestFit="1" customWidth="1"/>
    <col min="2818" max="2818" width="8.25" style="31" bestFit="1" customWidth="1"/>
    <col min="2819" max="2819" width="28.25" style="31" bestFit="1" customWidth="1"/>
    <col min="2820" max="2820" width="13.75" style="31" bestFit="1" customWidth="1"/>
    <col min="2821" max="2821" width="12.875" style="31" bestFit="1" customWidth="1"/>
    <col min="2822" max="2822" width="19.375" style="31" bestFit="1" customWidth="1"/>
    <col min="2823" max="2823" width="14.125" style="31" bestFit="1" customWidth="1"/>
    <col min="2824" max="2824" width="16.625" style="31" bestFit="1" customWidth="1"/>
    <col min="2825" max="2825" width="11.875" style="31" bestFit="1" customWidth="1"/>
    <col min="2826" max="2828" width="23.625" style="31" bestFit="1" customWidth="1"/>
    <col min="2829" max="2831" width="24.625" style="31" bestFit="1" customWidth="1"/>
    <col min="2832" max="2832" width="24" style="31" bestFit="1" customWidth="1"/>
    <col min="2833" max="2833" width="23.375" style="31" bestFit="1" customWidth="1"/>
    <col min="2834" max="2835" width="23.625" style="31" bestFit="1" customWidth="1"/>
    <col min="2836" max="2837" width="24.625" style="31" bestFit="1" customWidth="1"/>
    <col min="2838" max="2838" width="24" style="31" bestFit="1" customWidth="1"/>
    <col min="2839" max="2839" width="23.375" style="31" bestFit="1" customWidth="1"/>
    <col min="2840" max="2841" width="18" style="31" bestFit="1" customWidth="1"/>
    <col min="2842" max="2842" width="17" style="31" bestFit="1" customWidth="1"/>
    <col min="2843" max="2843" width="13.25" style="31" bestFit="1" customWidth="1"/>
    <col min="2844" max="2846" width="14.125" style="31" bestFit="1" customWidth="1"/>
    <col min="2847" max="2848" width="27.25" style="31" bestFit="1" customWidth="1"/>
    <col min="2849" max="2849" width="22.875" style="31" bestFit="1" customWidth="1"/>
    <col min="2850" max="2850" width="30.25" style="31" bestFit="1" customWidth="1"/>
    <col min="2851" max="2851" width="16.375" style="31" bestFit="1" customWidth="1"/>
    <col min="2852" max="2852" width="10.625" style="31" bestFit="1" customWidth="1"/>
    <col min="2853" max="2853" width="12.875" style="31" bestFit="1" customWidth="1"/>
    <col min="2854" max="2854" width="17.75" style="31" bestFit="1" customWidth="1"/>
    <col min="2855" max="2855" width="11.875" style="31" bestFit="1" customWidth="1"/>
    <col min="2856" max="2856" width="19.25" style="31" bestFit="1" customWidth="1"/>
    <col min="2857" max="2857" width="11.875" style="31" bestFit="1" customWidth="1"/>
    <col min="2858" max="2858" width="20.75" style="31" bestFit="1" customWidth="1"/>
    <col min="2859" max="2859" width="24.75" style="31" bestFit="1" customWidth="1"/>
    <col min="2860" max="2861" width="27.25" style="31" bestFit="1" customWidth="1"/>
    <col min="2862" max="2862" width="8.125" style="31"/>
    <col min="2863" max="2863" width="8" style="31" bestFit="1" customWidth="1"/>
    <col min="2864" max="2864" width="10" style="31" bestFit="1" customWidth="1"/>
    <col min="2865" max="2865" width="9" style="31" bestFit="1" customWidth="1"/>
    <col min="2866" max="2866" width="9.625" style="31" bestFit="1" customWidth="1"/>
    <col min="2867" max="2867" width="9" style="31" bestFit="1" customWidth="1"/>
    <col min="2868" max="2868" width="8.125" style="31"/>
    <col min="2869" max="2869" width="16.25" style="31" customWidth="1"/>
    <col min="2870" max="2873" width="14.125" style="31" customWidth="1"/>
    <col min="2874" max="2874" width="23.375" style="31" customWidth="1"/>
    <col min="2875" max="2875" width="14.125" style="31" customWidth="1"/>
    <col min="2876" max="3072" width="8.125" style="31"/>
    <col min="3073" max="3073" width="3" style="31" bestFit="1" customWidth="1"/>
    <col min="3074" max="3074" width="8.25" style="31" bestFit="1" customWidth="1"/>
    <col min="3075" max="3075" width="28.25" style="31" bestFit="1" customWidth="1"/>
    <col min="3076" max="3076" width="13.75" style="31" bestFit="1" customWidth="1"/>
    <col min="3077" max="3077" width="12.875" style="31" bestFit="1" customWidth="1"/>
    <col min="3078" max="3078" width="19.375" style="31" bestFit="1" customWidth="1"/>
    <col min="3079" max="3079" width="14.125" style="31" bestFit="1" customWidth="1"/>
    <col min="3080" max="3080" width="16.625" style="31" bestFit="1" customWidth="1"/>
    <col min="3081" max="3081" width="11.875" style="31" bestFit="1" customWidth="1"/>
    <col min="3082" max="3084" width="23.625" style="31" bestFit="1" customWidth="1"/>
    <col min="3085" max="3087" width="24.625" style="31" bestFit="1" customWidth="1"/>
    <col min="3088" max="3088" width="24" style="31" bestFit="1" customWidth="1"/>
    <col min="3089" max="3089" width="23.375" style="31" bestFit="1" customWidth="1"/>
    <col min="3090" max="3091" width="23.625" style="31" bestFit="1" customWidth="1"/>
    <col min="3092" max="3093" width="24.625" style="31" bestFit="1" customWidth="1"/>
    <col min="3094" max="3094" width="24" style="31" bestFit="1" customWidth="1"/>
    <col min="3095" max="3095" width="23.375" style="31" bestFit="1" customWidth="1"/>
    <col min="3096" max="3097" width="18" style="31" bestFit="1" customWidth="1"/>
    <col min="3098" max="3098" width="17" style="31" bestFit="1" customWidth="1"/>
    <col min="3099" max="3099" width="13.25" style="31" bestFit="1" customWidth="1"/>
    <col min="3100" max="3102" width="14.125" style="31" bestFit="1" customWidth="1"/>
    <col min="3103" max="3104" width="27.25" style="31" bestFit="1" customWidth="1"/>
    <col min="3105" max="3105" width="22.875" style="31" bestFit="1" customWidth="1"/>
    <col min="3106" max="3106" width="30.25" style="31" bestFit="1" customWidth="1"/>
    <col min="3107" max="3107" width="16.375" style="31" bestFit="1" customWidth="1"/>
    <col min="3108" max="3108" width="10.625" style="31" bestFit="1" customWidth="1"/>
    <col min="3109" max="3109" width="12.875" style="31" bestFit="1" customWidth="1"/>
    <col min="3110" max="3110" width="17.75" style="31" bestFit="1" customWidth="1"/>
    <col min="3111" max="3111" width="11.875" style="31" bestFit="1" customWidth="1"/>
    <col min="3112" max="3112" width="19.25" style="31" bestFit="1" customWidth="1"/>
    <col min="3113" max="3113" width="11.875" style="31" bestFit="1" customWidth="1"/>
    <col min="3114" max="3114" width="20.75" style="31" bestFit="1" customWidth="1"/>
    <col min="3115" max="3115" width="24.75" style="31" bestFit="1" customWidth="1"/>
    <col min="3116" max="3117" width="27.25" style="31" bestFit="1" customWidth="1"/>
    <col min="3118" max="3118" width="8.125" style="31"/>
    <col min="3119" max="3119" width="8" style="31" bestFit="1" customWidth="1"/>
    <col min="3120" max="3120" width="10" style="31" bestFit="1" customWidth="1"/>
    <col min="3121" max="3121" width="9" style="31" bestFit="1" customWidth="1"/>
    <col min="3122" max="3122" width="9.625" style="31" bestFit="1" customWidth="1"/>
    <col min="3123" max="3123" width="9" style="31" bestFit="1" customWidth="1"/>
    <col min="3124" max="3124" width="8.125" style="31"/>
    <col min="3125" max="3125" width="16.25" style="31" customWidth="1"/>
    <col min="3126" max="3129" width="14.125" style="31" customWidth="1"/>
    <col min="3130" max="3130" width="23.375" style="31" customWidth="1"/>
    <col min="3131" max="3131" width="14.125" style="31" customWidth="1"/>
    <col min="3132" max="3328" width="8.125" style="31"/>
    <col min="3329" max="3329" width="3" style="31" bestFit="1" customWidth="1"/>
    <col min="3330" max="3330" width="8.25" style="31" bestFit="1" customWidth="1"/>
    <col min="3331" max="3331" width="28.25" style="31" bestFit="1" customWidth="1"/>
    <col min="3332" max="3332" width="13.75" style="31" bestFit="1" customWidth="1"/>
    <col min="3333" max="3333" width="12.875" style="31" bestFit="1" customWidth="1"/>
    <col min="3334" max="3334" width="19.375" style="31" bestFit="1" customWidth="1"/>
    <col min="3335" max="3335" width="14.125" style="31" bestFit="1" customWidth="1"/>
    <col min="3336" max="3336" width="16.625" style="31" bestFit="1" customWidth="1"/>
    <col min="3337" max="3337" width="11.875" style="31" bestFit="1" customWidth="1"/>
    <col min="3338" max="3340" width="23.625" style="31" bestFit="1" customWidth="1"/>
    <col min="3341" max="3343" width="24.625" style="31" bestFit="1" customWidth="1"/>
    <col min="3344" max="3344" width="24" style="31" bestFit="1" customWidth="1"/>
    <col min="3345" max="3345" width="23.375" style="31" bestFit="1" customWidth="1"/>
    <col min="3346" max="3347" width="23.625" style="31" bestFit="1" customWidth="1"/>
    <col min="3348" max="3349" width="24.625" style="31" bestFit="1" customWidth="1"/>
    <col min="3350" max="3350" width="24" style="31" bestFit="1" customWidth="1"/>
    <col min="3351" max="3351" width="23.375" style="31" bestFit="1" customWidth="1"/>
    <col min="3352" max="3353" width="18" style="31" bestFit="1" customWidth="1"/>
    <col min="3354" max="3354" width="17" style="31" bestFit="1" customWidth="1"/>
    <col min="3355" max="3355" width="13.25" style="31" bestFit="1" customWidth="1"/>
    <col min="3356" max="3358" width="14.125" style="31" bestFit="1" customWidth="1"/>
    <col min="3359" max="3360" width="27.25" style="31" bestFit="1" customWidth="1"/>
    <col min="3361" max="3361" width="22.875" style="31" bestFit="1" customWidth="1"/>
    <col min="3362" max="3362" width="30.25" style="31" bestFit="1" customWidth="1"/>
    <col min="3363" max="3363" width="16.375" style="31" bestFit="1" customWidth="1"/>
    <col min="3364" max="3364" width="10.625" style="31" bestFit="1" customWidth="1"/>
    <col min="3365" max="3365" width="12.875" style="31" bestFit="1" customWidth="1"/>
    <col min="3366" max="3366" width="17.75" style="31" bestFit="1" customWidth="1"/>
    <col min="3367" max="3367" width="11.875" style="31" bestFit="1" customWidth="1"/>
    <col min="3368" max="3368" width="19.25" style="31" bestFit="1" customWidth="1"/>
    <col min="3369" max="3369" width="11.875" style="31" bestFit="1" customWidth="1"/>
    <col min="3370" max="3370" width="20.75" style="31" bestFit="1" customWidth="1"/>
    <col min="3371" max="3371" width="24.75" style="31" bestFit="1" customWidth="1"/>
    <col min="3372" max="3373" width="27.25" style="31" bestFit="1" customWidth="1"/>
    <col min="3374" max="3374" width="8.125" style="31"/>
    <col min="3375" max="3375" width="8" style="31" bestFit="1" customWidth="1"/>
    <col min="3376" max="3376" width="10" style="31" bestFit="1" customWidth="1"/>
    <col min="3377" max="3377" width="9" style="31" bestFit="1" customWidth="1"/>
    <col min="3378" max="3378" width="9.625" style="31" bestFit="1" customWidth="1"/>
    <col min="3379" max="3379" width="9" style="31" bestFit="1" customWidth="1"/>
    <col min="3380" max="3380" width="8.125" style="31"/>
    <col min="3381" max="3381" width="16.25" style="31" customWidth="1"/>
    <col min="3382" max="3385" width="14.125" style="31" customWidth="1"/>
    <col min="3386" max="3386" width="23.375" style="31" customWidth="1"/>
    <col min="3387" max="3387" width="14.125" style="31" customWidth="1"/>
    <col min="3388" max="3584" width="8.125" style="31"/>
    <col min="3585" max="3585" width="3" style="31" bestFit="1" customWidth="1"/>
    <col min="3586" max="3586" width="8.25" style="31" bestFit="1" customWidth="1"/>
    <col min="3587" max="3587" width="28.25" style="31" bestFit="1" customWidth="1"/>
    <col min="3588" max="3588" width="13.75" style="31" bestFit="1" customWidth="1"/>
    <col min="3589" max="3589" width="12.875" style="31" bestFit="1" customWidth="1"/>
    <col min="3590" max="3590" width="19.375" style="31" bestFit="1" customWidth="1"/>
    <col min="3591" max="3591" width="14.125" style="31" bestFit="1" customWidth="1"/>
    <col min="3592" max="3592" width="16.625" style="31" bestFit="1" customWidth="1"/>
    <col min="3593" max="3593" width="11.875" style="31" bestFit="1" customWidth="1"/>
    <col min="3594" max="3596" width="23.625" style="31" bestFit="1" customWidth="1"/>
    <col min="3597" max="3599" width="24.625" style="31" bestFit="1" customWidth="1"/>
    <col min="3600" max="3600" width="24" style="31" bestFit="1" customWidth="1"/>
    <col min="3601" max="3601" width="23.375" style="31" bestFit="1" customWidth="1"/>
    <col min="3602" max="3603" width="23.625" style="31" bestFit="1" customWidth="1"/>
    <col min="3604" max="3605" width="24.625" style="31" bestFit="1" customWidth="1"/>
    <col min="3606" max="3606" width="24" style="31" bestFit="1" customWidth="1"/>
    <col min="3607" max="3607" width="23.375" style="31" bestFit="1" customWidth="1"/>
    <col min="3608" max="3609" width="18" style="31" bestFit="1" customWidth="1"/>
    <col min="3610" max="3610" width="17" style="31" bestFit="1" customWidth="1"/>
    <col min="3611" max="3611" width="13.25" style="31" bestFit="1" customWidth="1"/>
    <col min="3612" max="3614" width="14.125" style="31" bestFit="1" customWidth="1"/>
    <col min="3615" max="3616" width="27.25" style="31" bestFit="1" customWidth="1"/>
    <col min="3617" max="3617" width="22.875" style="31" bestFit="1" customWidth="1"/>
    <col min="3618" max="3618" width="30.25" style="31" bestFit="1" customWidth="1"/>
    <col min="3619" max="3619" width="16.375" style="31" bestFit="1" customWidth="1"/>
    <col min="3620" max="3620" width="10.625" style="31" bestFit="1" customWidth="1"/>
    <col min="3621" max="3621" width="12.875" style="31" bestFit="1" customWidth="1"/>
    <col min="3622" max="3622" width="17.75" style="31" bestFit="1" customWidth="1"/>
    <col min="3623" max="3623" width="11.875" style="31" bestFit="1" customWidth="1"/>
    <col min="3624" max="3624" width="19.25" style="31" bestFit="1" customWidth="1"/>
    <col min="3625" max="3625" width="11.875" style="31" bestFit="1" customWidth="1"/>
    <col min="3626" max="3626" width="20.75" style="31" bestFit="1" customWidth="1"/>
    <col min="3627" max="3627" width="24.75" style="31" bestFit="1" customWidth="1"/>
    <col min="3628" max="3629" width="27.25" style="31" bestFit="1" customWidth="1"/>
    <col min="3630" max="3630" width="8.125" style="31"/>
    <col min="3631" max="3631" width="8" style="31" bestFit="1" customWidth="1"/>
    <col min="3632" max="3632" width="10" style="31" bestFit="1" customWidth="1"/>
    <col min="3633" max="3633" width="9" style="31" bestFit="1" customWidth="1"/>
    <col min="3634" max="3634" width="9.625" style="31" bestFit="1" customWidth="1"/>
    <col min="3635" max="3635" width="9" style="31" bestFit="1" customWidth="1"/>
    <col min="3636" max="3636" width="8.125" style="31"/>
    <col min="3637" max="3637" width="16.25" style="31" customWidth="1"/>
    <col min="3638" max="3641" width="14.125" style="31" customWidth="1"/>
    <col min="3642" max="3642" width="23.375" style="31" customWidth="1"/>
    <col min="3643" max="3643" width="14.125" style="31" customWidth="1"/>
    <col min="3644" max="3840" width="8.125" style="31"/>
    <col min="3841" max="3841" width="3" style="31" bestFit="1" customWidth="1"/>
    <col min="3842" max="3842" width="8.25" style="31" bestFit="1" customWidth="1"/>
    <col min="3843" max="3843" width="28.25" style="31" bestFit="1" customWidth="1"/>
    <col min="3844" max="3844" width="13.75" style="31" bestFit="1" customWidth="1"/>
    <col min="3845" max="3845" width="12.875" style="31" bestFit="1" customWidth="1"/>
    <col min="3846" max="3846" width="19.375" style="31" bestFit="1" customWidth="1"/>
    <col min="3847" max="3847" width="14.125" style="31" bestFit="1" customWidth="1"/>
    <col min="3848" max="3848" width="16.625" style="31" bestFit="1" customWidth="1"/>
    <col min="3849" max="3849" width="11.875" style="31" bestFit="1" customWidth="1"/>
    <col min="3850" max="3852" width="23.625" style="31" bestFit="1" customWidth="1"/>
    <col min="3853" max="3855" width="24.625" style="31" bestFit="1" customWidth="1"/>
    <col min="3856" max="3856" width="24" style="31" bestFit="1" customWidth="1"/>
    <col min="3857" max="3857" width="23.375" style="31" bestFit="1" customWidth="1"/>
    <col min="3858" max="3859" width="23.625" style="31" bestFit="1" customWidth="1"/>
    <col min="3860" max="3861" width="24.625" style="31" bestFit="1" customWidth="1"/>
    <col min="3862" max="3862" width="24" style="31" bestFit="1" customWidth="1"/>
    <col min="3863" max="3863" width="23.375" style="31" bestFit="1" customWidth="1"/>
    <col min="3864" max="3865" width="18" style="31" bestFit="1" customWidth="1"/>
    <col min="3866" max="3866" width="17" style="31" bestFit="1" customWidth="1"/>
    <col min="3867" max="3867" width="13.25" style="31" bestFit="1" customWidth="1"/>
    <col min="3868" max="3870" width="14.125" style="31" bestFit="1" customWidth="1"/>
    <col min="3871" max="3872" width="27.25" style="31" bestFit="1" customWidth="1"/>
    <col min="3873" max="3873" width="22.875" style="31" bestFit="1" customWidth="1"/>
    <col min="3874" max="3874" width="30.25" style="31" bestFit="1" customWidth="1"/>
    <col min="3875" max="3875" width="16.375" style="31" bestFit="1" customWidth="1"/>
    <col min="3876" max="3876" width="10.625" style="31" bestFit="1" customWidth="1"/>
    <col min="3877" max="3877" width="12.875" style="31" bestFit="1" customWidth="1"/>
    <col min="3878" max="3878" width="17.75" style="31" bestFit="1" customWidth="1"/>
    <col min="3879" max="3879" width="11.875" style="31" bestFit="1" customWidth="1"/>
    <col min="3880" max="3880" width="19.25" style="31" bestFit="1" customWidth="1"/>
    <col min="3881" max="3881" width="11.875" style="31" bestFit="1" customWidth="1"/>
    <col min="3882" max="3882" width="20.75" style="31" bestFit="1" customWidth="1"/>
    <col min="3883" max="3883" width="24.75" style="31" bestFit="1" customWidth="1"/>
    <col min="3884" max="3885" width="27.25" style="31" bestFit="1" customWidth="1"/>
    <col min="3886" max="3886" width="8.125" style="31"/>
    <col min="3887" max="3887" width="8" style="31" bestFit="1" customWidth="1"/>
    <col min="3888" max="3888" width="10" style="31" bestFit="1" customWidth="1"/>
    <col min="3889" max="3889" width="9" style="31" bestFit="1" customWidth="1"/>
    <col min="3890" max="3890" width="9.625" style="31" bestFit="1" customWidth="1"/>
    <col min="3891" max="3891" width="9" style="31" bestFit="1" customWidth="1"/>
    <col min="3892" max="3892" width="8.125" style="31"/>
    <col min="3893" max="3893" width="16.25" style="31" customWidth="1"/>
    <col min="3894" max="3897" width="14.125" style="31" customWidth="1"/>
    <col min="3898" max="3898" width="23.375" style="31" customWidth="1"/>
    <col min="3899" max="3899" width="14.125" style="31" customWidth="1"/>
    <col min="3900" max="4096" width="8.125" style="31"/>
    <col min="4097" max="4097" width="3" style="31" bestFit="1" customWidth="1"/>
    <col min="4098" max="4098" width="8.25" style="31" bestFit="1" customWidth="1"/>
    <col min="4099" max="4099" width="28.25" style="31" bestFit="1" customWidth="1"/>
    <col min="4100" max="4100" width="13.75" style="31" bestFit="1" customWidth="1"/>
    <col min="4101" max="4101" width="12.875" style="31" bestFit="1" customWidth="1"/>
    <col min="4102" max="4102" width="19.375" style="31" bestFit="1" customWidth="1"/>
    <col min="4103" max="4103" width="14.125" style="31" bestFit="1" customWidth="1"/>
    <col min="4104" max="4104" width="16.625" style="31" bestFit="1" customWidth="1"/>
    <col min="4105" max="4105" width="11.875" style="31" bestFit="1" customWidth="1"/>
    <col min="4106" max="4108" width="23.625" style="31" bestFit="1" customWidth="1"/>
    <col min="4109" max="4111" width="24.625" style="31" bestFit="1" customWidth="1"/>
    <col min="4112" max="4112" width="24" style="31" bestFit="1" customWidth="1"/>
    <col min="4113" max="4113" width="23.375" style="31" bestFit="1" customWidth="1"/>
    <col min="4114" max="4115" width="23.625" style="31" bestFit="1" customWidth="1"/>
    <col min="4116" max="4117" width="24.625" style="31" bestFit="1" customWidth="1"/>
    <col min="4118" max="4118" width="24" style="31" bestFit="1" customWidth="1"/>
    <col min="4119" max="4119" width="23.375" style="31" bestFit="1" customWidth="1"/>
    <col min="4120" max="4121" width="18" style="31" bestFit="1" customWidth="1"/>
    <col min="4122" max="4122" width="17" style="31" bestFit="1" customWidth="1"/>
    <col min="4123" max="4123" width="13.25" style="31" bestFit="1" customWidth="1"/>
    <col min="4124" max="4126" width="14.125" style="31" bestFit="1" customWidth="1"/>
    <col min="4127" max="4128" width="27.25" style="31" bestFit="1" customWidth="1"/>
    <col min="4129" max="4129" width="22.875" style="31" bestFit="1" customWidth="1"/>
    <col min="4130" max="4130" width="30.25" style="31" bestFit="1" customWidth="1"/>
    <col min="4131" max="4131" width="16.375" style="31" bestFit="1" customWidth="1"/>
    <col min="4132" max="4132" width="10.625" style="31" bestFit="1" customWidth="1"/>
    <col min="4133" max="4133" width="12.875" style="31" bestFit="1" customWidth="1"/>
    <col min="4134" max="4134" width="17.75" style="31" bestFit="1" customWidth="1"/>
    <col min="4135" max="4135" width="11.875" style="31" bestFit="1" customWidth="1"/>
    <col min="4136" max="4136" width="19.25" style="31" bestFit="1" customWidth="1"/>
    <col min="4137" max="4137" width="11.875" style="31" bestFit="1" customWidth="1"/>
    <col min="4138" max="4138" width="20.75" style="31" bestFit="1" customWidth="1"/>
    <col min="4139" max="4139" width="24.75" style="31" bestFit="1" customWidth="1"/>
    <col min="4140" max="4141" width="27.25" style="31" bestFit="1" customWidth="1"/>
    <col min="4142" max="4142" width="8.125" style="31"/>
    <col min="4143" max="4143" width="8" style="31" bestFit="1" customWidth="1"/>
    <col min="4144" max="4144" width="10" style="31" bestFit="1" customWidth="1"/>
    <col min="4145" max="4145" width="9" style="31" bestFit="1" customWidth="1"/>
    <col min="4146" max="4146" width="9.625" style="31" bestFit="1" customWidth="1"/>
    <col min="4147" max="4147" width="9" style="31" bestFit="1" customWidth="1"/>
    <col min="4148" max="4148" width="8.125" style="31"/>
    <col min="4149" max="4149" width="16.25" style="31" customWidth="1"/>
    <col min="4150" max="4153" width="14.125" style="31" customWidth="1"/>
    <col min="4154" max="4154" width="23.375" style="31" customWidth="1"/>
    <col min="4155" max="4155" width="14.125" style="31" customWidth="1"/>
    <col min="4156" max="4352" width="8.125" style="31"/>
    <col min="4353" max="4353" width="3" style="31" bestFit="1" customWidth="1"/>
    <col min="4354" max="4354" width="8.25" style="31" bestFit="1" customWidth="1"/>
    <col min="4355" max="4355" width="28.25" style="31" bestFit="1" customWidth="1"/>
    <col min="4356" max="4356" width="13.75" style="31" bestFit="1" customWidth="1"/>
    <col min="4357" max="4357" width="12.875" style="31" bestFit="1" customWidth="1"/>
    <col min="4358" max="4358" width="19.375" style="31" bestFit="1" customWidth="1"/>
    <col min="4359" max="4359" width="14.125" style="31" bestFit="1" customWidth="1"/>
    <col min="4360" max="4360" width="16.625" style="31" bestFit="1" customWidth="1"/>
    <col min="4361" max="4361" width="11.875" style="31" bestFit="1" customWidth="1"/>
    <col min="4362" max="4364" width="23.625" style="31" bestFit="1" customWidth="1"/>
    <col min="4365" max="4367" width="24.625" style="31" bestFit="1" customWidth="1"/>
    <col min="4368" max="4368" width="24" style="31" bestFit="1" customWidth="1"/>
    <col min="4369" max="4369" width="23.375" style="31" bestFit="1" customWidth="1"/>
    <col min="4370" max="4371" width="23.625" style="31" bestFit="1" customWidth="1"/>
    <col min="4372" max="4373" width="24.625" style="31" bestFit="1" customWidth="1"/>
    <col min="4374" max="4374" width="24" style="31" bestFit="1" customWidth="1"/>
    <col min="4375" max="4375" width="23.375" style="31" bestFit="1" customWidth="1"/>
    <col min="4376" max="4377" width="18" style="31" bestFit="1" customWidth="1"/>
    <col min="4378" max="4378" width="17" style="31" bestFit="1" customWidth="1"/>
    <col min="4379" max="4379" width="13.25" style="31" bestFit="1" customWidth="1"/>
    <col min="4380" max="4382" width="14.125" style="31" bestFit="1" customWidth="1"/>
    <col min="4383" max="4384" width="27.25" style="31" bestFit="1" customWidth="1"/>
    <col min="4385" max="4385" width="22.875" style="31" bestFit="1" customWidth="1"/>
    <col min="4386" max="4386" width="30.25" style="31" bestFit="1" customWidth="1"/>
    <col min="4387" max="4387" width="16.375" style="31" bestFit="1" customWidth="1"/>
    <col min="4388" max="4388" width="10.625" style="31" bestFit="1" customWidth="1"/>
    <col min="4389" max="4389" width="12.875" style="31" bestFit="1" customWidth="1"/>
    <col min="4390" max="4390" width="17.75" style="31" bestFit="1" customWidth="1"/>
    <col min="4391" max="4391" width="11.875" style="31" bestFit="1" customWidth="1"/>
    <col min="4392" max="4392" width="19.25" style="31" bestFit="1" customWidth="1"/>
    <col min="4393" max="4393" width="11.875" style="31" bestFit="1" customWidth="1"/>
    <col min="4394" max="4394" width="20.75" style="31" bestFit="1" customWidth="1"/>
    <col min="4395" max="4395" width="24.75" style="31" bestFit="1" customWidth="1"/>
    <col min="4396" max="4397" width="27.25" style="31" bestFit="1" customWidth="1"/>
    <col min="4398" max="4398" width="8.125" style="31"/>
    <col min="4399" max="4399" width="8" style="31" bestFit="1" customWidth="1"/>
    <col min="4400" max="4400" width="10" style="31" bestFit="1" customWidth="1"/>
    <col min="4401" max="4401" width="9" style="31" bestFit="1" customWidth="1"/>
    <col min="4402" max="4402" width="9.625" style="31" bestFit="1" customWidth="1"/>
    <col min="4403" max="4403" width="9" style="31" bestFit="1" customWidth="1"/>
    <col min="4404" max="4404" width="8.125" style="31"/>
    <col min="4405" max="4405" width="16.25" style="31" customWidth="1"/>
    <col min="4406" max="4409" width="14.125" style="31" customWidth="1"/>
    <col min="4410" max="4410" width="23.375" style="31" customWidth="1"/>
    <col min="4411" max="4411" width="14.125" style="31" customWidth="1"/>
    <col min="4412" max="4608" width="8.125" style="31"/>
    <col min="4609" max="4609" width="3" style="31" bestFit="1" customWidth="1"/>
    <col min="4610" max="4610" width="8.25" style="31" bestFit="1" customWidth="1"/>
    <col min="4611" max="4611" width="28.25" style="31" bestFit="1" customWidth="1"/>
    <col min="4612" max="4612" width="13.75" style="31" bestFit="1" customWidth="1"/>
    <col min="4613" max="4613" width="12.875" style="31" bestFit="1" customWidth="1"/>
    <col min="4614" max="4614" width="19.375" style="31" bestFit="1" customWidth="1"/>
    <col min="4615" max="4615" width="14.125" style="31" bestFit="1" customWidth="1"/>
    <col min="4616" max="4616" width="16.625" style="31" bestFit="1" customWidth="1"/>
    <col min="4617" max="4617" width="11.875" style="31" bestFit="1" customWidth="1"/>
    <col min="4618" max="4620" width="23.625" style="31" bestFit="1" customWidth="1"/>
    <col min="4621" max="4623" width="24.625" style="31" bestFit="1" customWidth="1"/>
    <col min="4624" max="4624" width="24" style="31" bestFit="1" customWidth="1"/>
    <col min="4625" max="4625" width="23.375" style="31" bestFit="1" customWidth="1"/>
    <col min="4626" max="4627" width="23.625" style="31" bestFit="1" customWidth="1"/>
    <col min="4628" max="4629" width="24.625" style="31" bestFit="1" customWidth="1"/>
    <col min="4630" max="4630" width="24" style="31" bestFit="1" customWidth="1"/>
    <col min="4631" max="4631" width="23.375" style="31" bestFit="1" customWidth="1"/>
    <col min="4632" max="4633" width="18" style="31" bestFit="1" customWidth="1"/>
    <col min="4634" max="4634" width="17" style="31" bestFit="1" customWidth="1"/>
    <col min="4635" max="4635" width="13.25" style="31" bestFit="1" customWidth="1"/>
    <col min="4636" max="4638" width="14.125" style="31" bestFit="1" customWidth="1"/>
    <col min="4639" max="4640" width="27.25" style="31" bestFit="1" customWidth="1"/>
    <col min="4641" max="4641" width="22.875" style="31" bestFit="1" customWidth="1"/>
    <col min="4642" max="4642" width="30.25" style="31" bestFit="1" customWidth="1"/>
    <col min="4643" max="4643" width="16.375" style="31" bestFit="1" customWidth="1"/>
    <col min="4644" max="4644" width="10.625" style="31" bestFit="1" customWidth="1"/>
    <col min="4645" max="4645" width="12.875" style="31" bestFit="1" customWidth="1"/>
    <col min="4646" max="4646" width="17.75" style="31" bestFit="1" customWidth="1"/>
    <col min="4647" max="4647" width="11.875" style="31" bestFit="1" customWidth="1"/>
    <col min="4648" max="4648" width="19.25" style="31" bestFit="1" customWidth="1"/>
    <col min="4649" max="4649" width="11.875" style="31" bestFit="1" customWidth="1"/>
    <col min="4650" max="4650" width="20.75" style="31" bestFit="1" customWidth="1"/>
    <col min="4651" max="4651" width="24.75" style="31" bestFit="1" customWidth="1"/>
    <col min="4652" max="4653" width="27.25" style="31" bestFit="1" customWidth="1"/>
    <col min="4654" max="4654" width="8.125" style="31"/>
    <col min="4655" max="4655" width="8" style="31" bestFit="1" customWidth="1"/>
    <col min="4656" max="4656" width="10" style="31" bestFit="1" customWidth="1"/>
    <col min="4657" max="4657" width="9" style="31" bestFit="1" customWidth="1"/>
    <col min="4658" max="4658" width="9.625" style="31" bestFit="1" customWidth="1"/>
    <col min="4659" max="4659" width="9" style="31" bestFit="1" customWidth="1"/>
    <col min="4660" max="4660" width="8.125" style="31"/>
    <col min="4661" max="4661" width="16.25" style="31" customWidth="1"/>
    <col min="4662" max="4665" width="14.125" style="31" customWidth="1"/>
    <col min="4666" max="4666" width="23.375" style="31" customWidth="1"/>
    <col min="4667" max="4667" width="14.125" style="31" customWidth="1"/>
    <col min="4668" max="4864" width="8.125" style="31"/>
    <col min="4865" max="4865" width="3" style="31" bestFit="1" customWidth="1"/>
    <col min="4866" max="4866" width="8.25" style="31" bestFit="1" customWidth="1"/>
    <col min="4867" max="4867" width="28.25" style="31" bestFit="1" customWidth="1"/>
    <col min="4868" max="4868" width="13.75" style="31" bestFit="1" customWidth="1"/>
    <col min="4869" max="4869" width="12.875" style="31" bestFit="1" customWidth="1"/>
    <col min="4870" max="4870" width="19.375" style="31" bestFit="1" customWidth="1"/>
    <col min="4871" max="4871" width="14.125" style="31" bestFit="1" customWidth="1"/>
    <col min="4872" max="4872" width="16.625" style="31" bestFit="1" customWidth="1"/>
    <col min="4873" max="4873" width="11.875" style="31" bestFit="1" customWidth="1"/>
    <col min="4874" max="4876" width="23.625" style="31" bestFit="1" customWidth="1"/>
    <col min="4877" max="4879" width="24.625" style="31" bestFit="1" customWidth="1"/>
    <col min="4880" max="4880" width="24" style="31" bestFit="1" customWidth="1"/>
    <col min="4881" max="4881" width="23.375" style="31" bestFit="1" customWidth="1"/>
    <col min="4882" max="4883" width="23.625" style="31" bestFit="1" customWidth="1"/>
    <col min="4884" max="4885" width="24.625" style="31" bestFit="1" customWidth="1"/>
    <col min="4886" max="4886" width="24" style="31" bestFit="1" customWidth="1"/>
    <col min="4887" max="4887" width="23.375" style="31" bestFit="1" customWidth="1"/>
    <col min="4888" max="4889" width="18" style="31" bestFit="1" customWidth="1"/>
    <col min="4890" max="4890" width="17" style="31" bestFit="1" customWidth="1"/>
    <col min="4891" max="4891" width="13.25" style="31" bestFit="1" customWidth="1"/>
    <col min="4892" max="4894" width="14.125" style="31" bestFit="1" customWidth="1"/>
    <col min="4895" max="4896" width="27.25" style="31" bestFit="1" customWidth="1"/>
    <col min="4897" max="4897" width="22.875" style="31" bestFit="1" customWidth="1"/>
    <col min="4898" max="4898" width="30.25" style="31" bestFit="1" customWidth="1"/>
    <col min="4899" max="4899" width="16.375" style="31" bestFit="1" customWidth="1"/>
    <col min="4900" max="4900" width="10.625" style="31" bestFit="1" customWidth="1"/>
    <col min="4901" max="4901" width="12.875" style="31" bestFit="1" customWidth="1"/>
    <col min="4902" max="4902" width="17.75" style="31" bestFit="1" customWidth="1"/>
    <col min="4903" max="4903" width="11.875" style="31" bestFit="1" customWidth="1"/>
    <col min="4904" max="4904" width="19.25" style="31" bestFit="1" customWidth="1"/>
    <col min="4905" max="4905" width="11.875" style="31" bestFit="1" customWidth="1"/>
    <col min="4906" max="4906" width="20.75" style="31" bestFit="1" customWidth="1"/>
    <col min="4907" max="4907" width="24.75" style="31" bestFit="1" customWidth="1"/>
    <col min="4908" max="4909" width="27.25" style="31" bestFit="1" customWidth="1"/>
    <col min="4910" max="4910" width="8.125" style="31"/>
    <col min="4911" max="4911" width="8" style="31" bestFit="1" customWidth="1"/>
    <col min="4912" max="4912" width="10" style="31" bestFit="1" customWidth="1"/>
    <col min="4913" max="4913" width="9" style="31" bestFit="1" customWidth="1"/>
    <col min="4914" max="4914" width="9.625" style="31" bestFit="1" customWidth="1"/>
    <col min="4915" max="4915" width="9" style="31" bestFit="1" customWidth="1"/>
    <col min="4916" max="4916" width="8.125" style="31"/>
    <col min="4917" max="4917" width="16.25" style="31" customWidth="1"/>
    <col min="4918" max="4921" width="14.125" style="31" customWidth="1"/>
    <col min="4922" max="4922" width="23.375" style="31" customWidth="1"/>
    <col min="4923" max="4923" width="14.125" style="31" customWidth="1"/>
    <col min="4924" max="5120" width="8.125" style="31"/>
    <col min="5121" max="5121" width="3" style="31" bestFit="1" customWidth="1"/>
    <col min="5122" max="5122" width="8.25" style="31" bestFit="1" customWidth="1"/>
    <col min="5123" max="5123" width="28.25" style="31" bestFit="1" customWidth="1"/>
    <col min="5124" max="5124" width="13.75" style="31" bestFit="1" customWidth="1"/>
    <col min="5125" max="5125" width="12.875" style="31" bestFit="1" customWidth="1"/>
    <col min="5126" max="5126" width="19.375" style="31" bestFit="1" customWidth="1"/>
    <col min="5127" max="5127" width="14.125" style="31" bestFit="1" customWidth="1"/>
    <col min="5128" max="5128" width="16.625" style="31" bestFit="1" customWidth="1"/>
    <col min="5129" max="5129" width="11.875" style="31" bestFit="1" customWidth="1"/>
    <col min="5130" max="5132" width="23.625" style="31" bestFit="1" customWidth="1"/>
    <col min="5133" max="5135" width="24.625" style="31" bestFit="1" customWidth="1"/>
    <col min="5136" max="5136" width="24" style="31" bestFit="1" customWidth="1"/>
    <col min="5137" max="5137" width="23.375" style="31" bestFit="1" customWidth="1"/>
    <col min="5138" max="5139" width="23.625" style="31" bestFit="1" customWidth="1"/>
    <col min="5140" max="5141" width="24.625" style="31" bestFit="1" customWidth="1"/>
    <col min="5142" max="5142" width="24" style="31" bestFit="1" customWidth="1"/>
    <col min="5143" max="5143" width="23.375" style="31" bestFit="1" customWidth="1"/>
    <col min="5144" max="5145" width="18" style="31" bestFit="1" customWidth="1"/>
    <col min="5146" max="5146" width="17" style="31" bestFit="1" customWidth="1"/>
    <col min="5147" max="5147" width="13.25" style="31" bestFit="1" customWidth="1"/>
    <col min="5148" max="5150" width="14.125" style="31" bestFit="1" customWidth="1"/>
    <col min="5151" max="5152" width="27.25" style="31" bestFit="1" customWidth="1"/>
    <col min="5153" max="5153" width="22.875" style="31" bestFit="1" customWidth="1"/>
    <col min="5154" max="5154" width="30.25" style="31" bestFit="1" customWidth="1"/>
    <col min="5155" max="5155" width="16.375" style="31" bestFit="1" customWidth="1"/>
    <col min="5156" max="5156" width="10.625" style="31" bestFit="1" customWidth="1"/>
    <col min="5157" max="5157" width="12.875" style="31" bestFit="1" customWidth="1"/>
    <col min="5158" max="5158" width="17.75" style="31" bestFit="1" customWidth="1"/>
    <col min="5159" max="5159" width="11.875" style="31" bestFit="1" customWidth="1"/>
    <col min="5160" max="5160" width="19.25" style="31" bestFit="1" customWidth="1"/>
    <col min="5161" max="5161" width="11.875" style="31" bestFit="1" customWidth="1"/>
    <col min="5162" max="5162" width="20.75" style="31" bestFit="1" customWidth="1"/>
    <col min="5163" max="5163" width="24.75" style="31" bestFit="1" customWidth="1"/>
    <col min="5164" max="5165" width="27.25" style="31" bestFit="1" customWidth="1"/>
    <col min="5166" max="5166" width="8.125" style="31"/>
    <col min="5167" max="5167" width="8" style="31" bestFit="1" customWidth="1"/>
    <col min="5168" max="5168" width="10" style="31" bestFit="1" customWidth="1"/>
    <col min="5169" max="5169" width="9" style="31" bestFit="1" customWidth="1"/>
    <col min="5170" max="5170" width="9.625" style="31" bestFit="1" customWidth="1"/>
    <col min="5171" max="5171" width="9" style="31" bestFit="1" customWidth="1"/>
    <col min="5172" max="5172" width="8.125" style="31"/>
    <col min="5173" max="5173" width="16.25" style="31" customWidth="1"/>
    <col min="5174" max="5177" width="14.125" style="31" customWidth="1"/>
    <col min="5178" max="5178" width="23.375" style="31" customWidth="1"/>
    <col min="5179" max="5179" width="14.125" style="31" customWidth="1"/>
    <col min="5180" max="5376" width="8.125" style="31"/>
    <col min="5377" max="5377" width="3" style="31" bestFit="1" customWidth="1"/>
    <col min="5378" max="5378" width="8.25" style="31" bestFit="1" customWidth="1"/>
    <col min="5379" max="5379" width="28.25" style="31" bestFit="1" customWidth="1"/>
    <col min="5380" max="5380" width="13.75" style="31" bestFit="1" customWidth="1"/>
    <col min="5381" max="5381" width="12.875" style="31" bestFit="1" customWidth="1"/>
    <col min="5382" max="5382" width="19.375" style="31" bestFit="1" customWidth="1"/>
    <col min="5383" max="5383" width="14.125" style="31" bestFit="1" customWidth="1"/>
    <col min="5384" max="5384" width="16.625" style="31" bestFit="1" customWidth="1"/>
    <col min="5385" max="5385" width="11.875" style="31" bestFit="1" customWidth="1"/>
    <col min="5386" max="5388" width="23.625" style="31" bestFit="1" customWidth="1"/>
    <col min="5389" max="5391" width="24.625" style="31" bestFit="1" customWidth="1"/>
    <col min="5392" max="5392" width="24" style="31" bestFit="1" customWidth="1"/>
    <col min="5393" max="5393" width="23.375" style="31" bestFit="1" customWidth="1"/>
    <col min="5394" max="5395" width="23.625" style="31" bestFit="1" customWidth="1"/>
    <col min="5396" max="5397" width="24.625" style="31" bestFit="1" customWidth="1"/>
    <col min="5398" max="5398" width="24" style="31" bestFit="1" customWidth="1"/>
    <col min="5399" max="5399" width="23.375" style="31" bestFit="1" customWidth="1"/>
    <col min="5400" max="5401" width="18" style="31" bestFit="1" customWidth="1"/>
    <col min="5402" max="5402" width="17" style="31" bestFit="1" customWidth="1"/>
    <col min="5403" max="5403" width="13.25" style="31" bestFit="1" customWidth="1"/>
    <col min="5404" max="5406" width="14.125" style="31" bestFit="1" customWidth="1"/>
    <col min="5407" max="5408" width="27.25" style="31" bestFit="1" customWidth="1"/>
    <col min="5409" max="5409" width="22.875" style="31" bestFit="1" customWidth="1"/>
    <col min="5410" max="5410" width="30.25" style="31" bestFit="1" customWidth="1"/>
    <col min="5411" max="5411" width="16.375" style="31" bestFit="1" customWidth="1"/>
    <col min="5412" max="5412" width="10.625" style="31" bestFit="1" customWidth="1"/>
    <col min="5413" max="5413" width="12.875" style="31" bestFit="1" customWidth="1"/>
    <col min="5414" max="5414" width="17.75" style="31" bestFit="1" customWidth="1"/>
    <col min="5415" max="5415" width="11.875" style="31" bestFit="1" customWidth="1"/>
    <col min="5416" max="5416" width="19.25" style="31" bestFit="1" customWidth="1"/>
    <col min="5417" max="5417" width="11.875" style="31" bestFit="1" customWidth="1"/>
    <col min="5418" max="5418" width="20.75" style="31" bestFit="1" customWidth="1"/>
    <col min="5419" max="5419" width="24.75" style="31" bestFit="1" customWidth="1"/>
    <col min="5420" max="5421" width="27.25" style="31" bestFit="1" customWidth="1"/>
    <col min="5422" max="5422" width="8.125" style="31"/>
    <col min="5423" max="5423" width="8" style="31" bestFit="1" customWidth="1"/>
    <col min="5424" max="5424" width="10" style="31" bestFit="1" customWidth="1"/>
    <col min="5425" max="5425" width="9" style="31" bestFit="1" customWidth="1"/>
    <col min="5426" max="5426" width="9.625" style="31" bestFit="1" customWidth="1"/>
    <col min="5427" max="5427" width="9" style="31" bestFit="1" customWidth="1"/>
    <col min="5428" max="5428" width="8.125" style="31"/>
    <col min="5429" max="5429" width="16.25" style="31" customWidth="1"/>
    <col min="5430" max="5433" width="14.125" style="31" customWidth="1"/>
    <col min="5434" max="5434" width="23.375" style="31" customWidth="1"/>
    <col min="5435" max="5435" width="14.125" style="31" customWidth="1"/>
    <col min="5436" max="5632" width="8.125" style="31"/>
    <col min="5633" max="5633" width="3" style="31" bestFit="1" customWidth="1"/>
    <col min="5634" max="5634" width="8.25" style="31" bestFit="1" customWidth="1"/>
    <col min="5635" max="5635" width="28.25" style="31" bestFit="1" customWidth="1"/>
    <col min="5636" max="5636" width="13.75" style="31" bestFit="1" customWidth="1"/>
    <col min="5637" max="5637" width="12.875" style="31" bestFit="1" customWidth="1"/>
    <col min="5638" max="5638" width="19.375" style="31" bestFit="1" customWidth="1"/>
    <col min="5639" max="5639" width="14.125" style="31" bestFit="1" customWidth="1"/>
    <col min="5640" max="5640" width="16.625" style="31" bestFit="1" customWidth="1"/>
    <col min="5641" max="5641" width="11.875" style="31" bestFit="1" customWidth="1"/>
    <col min="5642" max="5644" width="23.625" style="31" bestFit="1" customWidth="1"/>
    <col min="5645" max="5647" width="24.625" style="31" bestFit="1" customWidth="1"/>
    <col min="5648" max="5648" width="24" style="31" bestFit="1" customWidth="1"/>
    <col min="5649" max="5649" width="23.375" style="31" bestFit="1" customWidth="1"/>
    <col min="5650" max="5651" width="23.625" style="31" bestFit="1" customWidth="1"/>
    <col min="5652" max="5653" width="24.625" style="31" bestFit="1" customWidth="1"/>
    <col min="5654" max="5654" width="24" style="31" bestFit="1" customWidth="1"/>
    <col min="5655" max="5655" width="23.375" style="31" bestFit="1" customWidth="1"/>
    <col min="5656" max="5657" width="18" style="31" bestFit="1" customWidth="1"/>
    <col min="5658" max="5658" width="17" style="31" bestFit="1" customWidth="1"/>
    <col min="5659" max="5659" width="13.25" style="31" bestFit="1" customWidth="1"/>
    <col min="5660" max="5662" width="14.125" style="31" bestFit="1" customWidth="1"/>
    <col min="5663" max="5664" width="27.25" style="31" bestFit="1" customWidth="1"/>
    <col min="5665" max="5665" width="22.875" style="31" bestFit="1" customWidth="1"/>
    <col min="5666" max="5666" width="30.25" style="31" bestFit="1" customWidth="1"/>
    <col min="5667" max="5667" width="16.375" style="31" bestFit="1" customWidth="1"/>
    <col min="5668" max="5668" width="10.625" style="31" bestFit="1" customWidth="1"/>
    <col min="5669" max="5669" width="12.875" style="31" bestFit="1" customWidth="1"/>
    <col min="5670" max="5670" width="17.75" style="31" bestFit="1" customWidth="1"/>
    <col min="5671" max="5671" width="11.875" style="31" bestFit="1" customWidth="1"/>
    <col min="5672" max="5672" width="19.25" style="31" bestFit="1" customWidth="1"/>
    <col min="5673" max="5673" width="11.875" style="31" bestFit="1" customWidth="1"/>
    <col min="5674" max="5674" width="20.75" style="31" bestFit="1" customWidth="1"/>
    <col min="5675" max="5675" width="24.75" style="31" bestFit="1" customWidth="1"/>
    <col min="5676" max="5677" width="27.25" style="31" bestFit="1" customWidth="1"/>
    <col min="5678" max="5678" width="8.125" style="31"/>
    <col min="5679" max="5679" width="8" style="31" bestFit="1" customWidth="1"/>
    <col min="5680" max="5680" width="10" style="31" bestFit="1" customWidth="1"/>
    <col min="5681" max="5681" width="9" style="31" bestFit="1" customWidth="1"/>
    <col min="5682" max="5682" width="9.625" style="31" bestFit="1" customWidth="1"/>
    <col min="5683" max="5683" width="9" style="31" bestFit="1" customWidth="1"/>
    <col min="5684" max="5684" width="8.125" style="31"/>
    <col min="5685" max="5685" width="16.25" style="31" customWidth="1"/>
    <col min="5686" max="5689" width="14.125" style="31" customWidth="1"/>
    <col min="5690" max="5690" width="23.375" style="31" customWidth="1"/>
    <col min="5691" max="5691" width="14.125" style="31" customWidth="1"/>
    <col min="5692" max="5888" width="8.125" style="31"/>
    <col min="5889" max="5889" width="3" style="31" bestFit="1" customWidth="1"/>
    <col min="5890" max="5890" width="8.25" style="31" bestFit="1" customWidth="1"/>
    <col min="5891" max="5891" width="28.25" style="31" bestFit="1" customWidth="1"/>
    <col min="5892" max="5892" width="13.75" style="31" bestFit="1" customWidth="1"/>
    <col min="5893" max="5893" width="12.875" style="31" bestFit="1" customWidth="1"/>
    <col min="5894" max="5894" width="19.375" style="31" bestFit="1" customWidth="1"/>
    <col min="5895" max="5895" width="14.125" style="31" bestFit="1" customWidth="1"/>
    <col min="5896" max="5896" width="16.625" style="31" bestFit="1" customWidth="1"/>
    <col min="5897" max="5897" width="11.875" style="31" bestFit="1" customWidth="1"/>
    <col min="5898" max="5900" width="23.625" style="31" bestFit="1" customWidth="1"/>
    <col min="5901" max="5903" width="24.625" style="31" bestFit="1" customWidth="1"/>
    <col min="5904" max="5904" width="24" style="31" bestFit="1" customWidth="1"/>
    <col min="5905" max="5905" width="23.375" style="31" bestFit="1" customWidth="1"/>
    <col min="5906" max="5907" width="23.625" style="31" bestFit="1" customWidth="1"/>
    <col min="5908" max="5909" width="24.625" style="31" bestFit="1" customWidth="1"/>
    <col min="5910" max="5910" width="24" style="31" bestFit="1" customWidth="1"/>
    <col min="5911" max="5911" width="23.375" style="31" bestFit="1" customWidth="1"/>
    <col min="5912" max="5913" width="18" style="31" bestFit="1" customWidth="1"/>
    <col min="5914" max="5914" width="17" style="31" bestFit="1" customWidth="1"/>
    <col min="5915" max="5915" width="13.25" style="31" bestFit="1" customWidth="1"/>
    <col min="5916" max="5918" width="14.125" style="31" bestFit="1" customWidth="1"/>
    <col min="5919" max="5920" width="27.25" style="31" bestFit="1" customWidth="1"/>
    <col min="5921" max="5921" width="22.875" style="31" bestFit="1" customWidth="1"/>
    <col min="5922" max="5922" width="30.25" style="31" bestFit="1" customWidth="1"/>
    <col min="5923" max="5923" width="16.375" style="31" bestFit="1" customWidth="1"/>
    <col min="5924" max="5924" width="10.625" style="31" bestFit="1" customWidth="1"/>
    <col min="5925" max="5925" width="12.875" style="31" bestFit="1" customWidth="1"/>
    <col min="5926" max="5926" width="17.75" style="31" bestFit="1" customWidth="1"/>
    <col min="5927" max="5927" width="11.875" style="31" bestFit="1" customWidth="1"/>
    <col min="5928" max="5928" width="19.25" style="31" bestFit="1" customWidth="1"/>
    <col min="5929" max="5929" width="11.875" style="31" bestFit="1" customWidth="1"/>
    <col min="5930" max="5930" width="20.75" style="31" bestFit="1" customWidth="1"/>
    <col min="5931" max="5931" width="24.75" style="31" bestFit="1" customWidth="1"/>
    <col min="5932" max="5933" width="27.25" style="31" bestFit="1" customWidth="1"/>
    <col min="5934" max="5934" width="8.125" style="31"/>
    <col min="5935" max="5935" width="8" style="31" bestFit="1" customWidth="1"/>
    <col min="5936" max="5936" width="10" style="31" bestFit="1" customWidth="1"/>
    <col min="5937" max="5937" width="9" style="31" bestFit="1" customWidth="1"/>
    <col min="5938" max="5938" width="9.625" style="31" bestFit="1" customWidth="1"/>
    <col min="5939" max="5939" width="9" style="31" bestFit="1" customWidth="1"/>
    <col min="5940" max="5940" width="8.125" style="31"/>
    <col min="5941" max="5941" width="16.25" style="31" customWidth="1"/>
    <col min="5942" max="5945" width="14.125" style="31" customWidth="1"/>
    <col min="5946" max="5946" width="23.375" style="31" customWidth="1"/>
    <col min="5947" max="5947" width="14.125" style="31" customWidth="1"/>
    <col min="5948" max="6144" width="8.125" style="31"/>
    <col min="6145" max="6145" width="3" style="31" bestFit="1" customWidth="1"/>
    <col min="6146" max="6146" width="8.25" style="31" bestFit="1" customWidth="1"/>
    <col min="6147" max="6147" width="28.25" style="31" bestFit="1" customWidth="1"/>
    <col min="6148" max="6148" width="13.75" style="31" bestFit="1" customWidth="1"/>
    <col min="6149" max="6149" width="12.875" style="31" bestFit="1" customWidth="1"/>
    <col min="6150" max="6150" width="19.375" style="31" bestFit="1" customWidth="1"/>
    <col min="6151" max="6151" width="14.125" style="31" bestFit="1" customWidth="1"/>
    <col min="6152" max="6152" width="16.625" style="31" bestFit="1" customWidth="1"/>
    <col min="6153" max="6153" width="11.875" style="31" bestFit="1" customWidth="1"/>
    <col min="6154" max="6156" width="23.625" style="31" bestFit="1" customWidth="1"/>
    <col min="6157" max="6159" width="24.625" style="31" bestFit="1" customWidth="1"/>
    <col min="6160" max="6160" width="24" style="31" bestFit="1" customWidth="1"/>
    <col min="6161" max="6161" width="23.375" style="31" bestFit="1" customWidth="1"/>
    <col min="6162" max="6163" width="23.625" style="31" bestFit="1" customWidth="1"/>
    <col min="6164" max="6165" width="24.625" style="31" bestFit="1" customWidth="1"/>
    <col min="6166" max="6166" width="24" style="31" bestFit="1" customWidth="1"/>
    <col min="6167" max="6167" width="23.375" style="31" bestFit="1" customWidth="1"/>
    <col min="6168" max="6169" width="18" style="31" bestFit="1" customWidth="1"/>
    <col min="6170" max="6170" width="17" style="31" bestFit="1" customWidth="1"/>
    <col min="6171" max="6171" width="13.25" style="31" bestFit="1" customWidth="1"/>
    <col min="6172" max="6174" width="14.125" style="31" bestFit="1" customWidth="1"/>
    <col min="6175" max="6176" width="27.25" style="31" bestFit="1" customWidth="1"/>
    <col min="6177" max="6177" width="22.875" style="31" bestFit="1" customWidth="1"/>
    <col min="6178" max="6178" width="30.25" style="31" bestFit="1" customWidth="1"/>
    <col min="6179" max="6179" width="16.375" style="31" bestFit="1" customWidth="1"/>
    <col min="6180" max="6180" width="10.625" style="31" bestFit="1" customWidth="1"/>
    <col min="6181" max="6181" width="12.875" style="31" bestFit="1" customWidth="1"/>
    <col min="6182" max="6182" width="17.75" style="31" bestFit="1" customWidth="1"/>
    <col min="6183" max="6183" width="11.875" style="31" bestFit="1" customWidth="1"/>
    <col min="6184" max="6184" width="19.25" style="31" bestFit="1" customWidth="1"/>
    <col min="6185" max="6185" width="11.875" style="31" bestFit="1" customWidth="1"/>
    <col min="6186" max="6186" width="20.75" style="31" bestFit="1" customWidth="1"/>
    <col min="6187" max="6187" width="24.75" style="31" bestFit="1" customWidth="1"/>
    <col min="6188" max="6189" width="27.25" style="31" bestFit="1" customWidth="1"/>
    <col min="6190" max="6190" width="8.125" style="31"/>
    <col min="6191" max="6191" width="8" style="31" bestFit="1" customWidth="1"/>
    <col min="6192" max="6192" width="10" style="31" bestFit="1" customWidth="1"/>
    <col min="6193" max="6193" width="9" style="31" bestFit="1" customWidth="1"/>
    <col min="6194" max="6194" width="9.625" style="31" bestFit="1" customWidth="1"/>
    <col min="6195" max="6195" width="9" style="31" bestFit="1" customWidth="1"/>
    <col min="6196" max="6196" width="8.125" style="31"/>
    <col min="6197" max="6197" width="16.25" style="31" customWidth="1"/>
    <col min="6198" max="6201" width="14.125" style="31" customWidth="1"/>
    <col min="6202" max="6202" width="23.375" style="31" customWidth="1"/>
    <col min="6203" max="6203" width="14.125" style="31" customWidth="1"/>
    <col min="6204" max="6400" width="8.125" style="31"/>
    <col min="6401" max="6401" width="3" style="31" bestFit="1" customWidth="1"/>
    <col min="6402" max="6402" width="8.25" style="31" bestFit="1" customWidth="1"/>
    <col min="6403" max="6403" width="28.25" style="31" bestFit="1" customWidth="1"/>
    <col min="6404" max="6404" width="13.75" style="31" bestFit="1" customWidth="1"/>
    <col min="6405" max="6405" width="12.875" style="31" bestFit="1" customWidth="1"/>
    <col min="6406" max="6406" width="19.375" style="31" bestFit="1" customWidth="1"/>
    <col min="6407" max="6407" width="14.125" style="31" bestFit="1" customWidth="1"/>
    <col min="6408" max="6408" width="16.625" style="31" bestFit="1" customWidth="1"/>
    <col min="6409" max="6409" width="11.875" style="31" bestFit="1" customWidth="1"/>
    <col min="6410" max="6412" width="23.625" style="31" bestFit="1" customWidth="1"/>
    <col min="6413" max="6415" width="24.625" style="31" bestFit="1" customWidth="1"/>
    <col min="6416" max="6416" width="24" style="31" bestFit="1" customWidth="1"/>
    <col min="6417" max="6417" width="23.375" style="31" bestFit="1" customWidth="1"/>
    <col min="6418" max="6419" width="23.625" style="31" bestFit="1" customWidth="1"/>
    <col min="6420" max="6421" width="24.625" style="31" bestFit="1" customWidth="1"/>
    <col min="6422" max="6422" width="24" style="31" bestFit="1" customWidth="1"/>
    <col min="6423" max="6423" width="23.375" style="31" bestFit="1" customWidth="1"/>
    <col min="6424" max="6425" width="18" style="31" bestFit="1" customWidth="1"/>
    <col min="6426" max="6426" width="17" style="31" bestFit="1" customWidth="1"/>
    <col min="6427" max="6427" width="13.25" style="31" bestFit="1" customWidth="1"/>
    <col min="6428" max="6430" width="14.125" style="31" bestFit="1" customWidth="1"/>
    <col min="6431" max="6432" width="27.25" style="31" bestFit="1" customWidth="1"/>
    <col min="6433" max="6433" width="22.875" style="31" bestFit="1" customWidth="1"/>
    <col min="6434" max="6434" width="30.25" style="31" bestFit="1" customWidth="1"/>
    <col min="6435" max="6435" width="16.375" style="31" bestFit="1" customWidth="1"/>
    <col min="6436" max="6436" width="10.625" style="31" bestFit="1" customWidth="1"/>
    <col min="6437" max="6437" width="12.875" style="31" bestFit="1" customWidth="1"/>
    <col min="6438" max="6438" width="17.75" style="31" bestFit="1" customWidth="1"/>
    <col min="6439" max="6439" width="11.875" style="31" bestFit="1" customWidth="1"/>
    <col min="6440" max="6440" width="19.25" style="31" bestFit="1" customWidth="1"/>
    <col min="6441" max="6441" width="11.875" style="31" bestFit="1" customWidth="1"/>
    <col min="6442" max="6442" width="20.75" style="31" bestFit="1" customWidth="1"/>
    <col min="6443" max="6443" width="24.75" style="31" bestFit="1" customWidth="1"/>
    <col min="6444" max="6445" width="27.25" style="31" bestFit="1" customWidth="1"/>
    <col min="6446" max="6446" width="8.125" style="31"/>
    <col min="6447" max="6447" width="8" style="31" bestFit="1" customWidth="1"/>
    <col min="6448" max="6448" width="10" style="31" bestFit="1" customWidth="1"/>
    <col min="6449" max="6449" width="9" style="31" bestFit="1" customWidth="1"/>
    <col min="6450" max="6450" width="9.625" style="31" bestFit="1" customWidth="1"/>
    <col min="6451" max="6451" width="9" style="31" bestFit="1" customWidth="1"/>
    <col min="6452" max="6452" width="8.125" style="31"/>
    <col min="6453" max="6453" width="16.25" style="31" customWidth="1"/>
    <col min="6454" max="6457" width="14.125" style="31" customWidth="1"/>
    <col min="6458" max="6458" width="23.375" style="31" customWidth="1"/>
    <col min="6459" max="6459" width="14.125" style="31" customWidth="1"/>
    <col min="6460" max="6656" width="8.125" style="31"/>
    <col min="6657" max="6657" width="3" style="31" bestFit="1" customWidth="1"/>
    <col min="6658" max="6658" width="8.25" style="31" bestFit="1" customWidth="1"/>
    <col min="6659" max="6659" width="28.25" style="31" bestFit="1" customWidth="1"/>
    <col min="6660" max="6660" width="13.75" style="31" bestFit="1" customWidth="1"/>
    <col min="6661" max="6661" width="12.875" style="31" bestFit="1" customWidth="1"/>
    <col min="6662" max="6662" width="19.375" style="31" bestFit="1" customWidth="1"/>
    <col min="6663" max="6663" width="14.125" style="31" bestFit="1" customWidth="1"/>
    <col min="6664" max="6664" width="16.625" style="31" bestFit="1" customWidth="1"/>
    <col min="6665" max="6665" width="11.875" style="31" bestFit="1" customWidth="1"/>
    <col min="6666" max="6668" width="23.625" style="31" bestFit="1" customWidth="1"/>
    <col min="6669" max="6671" width="24.625" style="31" bestFit="1" customWidth="1"/>
    <col min="6672" max="6672" width="24" style="31" bestFit="1" customWidth="1"/>
    <col min="6673" max="6673" width="23.375" style="31" bestFit="1" customWidth="1"/>
    <col min="6674" max="6675" width="23.625" style="31" bestFit="1" customWidth="1"/>
    <col min="6676" max="6677" width="24.625" style="31" bestFit="1" customWidth="1"/>
    <col min="6678" max="6678" width="24" style="31" bestFit="1" customWidth="1"/>
    <col min="6679" max="6679" width="23.375" style="31" bestFit="1" customWidth="1"/>
    <col min="6680" max="6681" width="18" style="31" bestFit="1" customWidth="1"/>
    <col min="6682" max="6682" width="17" style="31" bestFit="1" customWidth="1"/>
    <col min="6683" max="6683" width="13.25" style="31" bestFit="1" customWidth="1"/>
    <col min="6684" max="6686" width="14.125" style="31" bestFit="1" customWidth="1"/>
    <col min="6687" max="6688" width="27.25" style="31" bestFit="1" customWidth="1"/>
    <col min="6689" max="6689" width="22.875" style="31" bestFit="1" customWidth="1"/>
    <col min="6690" max="6690" width="30.25" style="31" bestFit="1" customWidth="1"/>
    <col min="6691" max="6691" width="16.375" style="31" bestFit="1" customWidth="1"/>
    <col min="6692" max="6692" width="10.625" style="31" bestFit="1" customWidth="1"/>
    <col min="6693" max="6693" width="12.875" style="31" bestFit="1" customWidth="1"/>
    <col min="6694" max="6694" width="17.75" style="31" bestFit="1" customWidth="1"/>
    <col min="6695" max="6695" width="11.875" style="31" bestFit="1" customWidth="1"/>
    <col min="6696" max="6696" width="19.25" style="31" bestFit="1" customWidth="1"/>
    <col min="6697" max="6697" width="11.875" style="31" bestFit="1" customWidth="1"/>
    <col min="6698" max="6698" width="20.75" style="31" bestFit="1" customWidth="1"/>
    <col min="6699" max="6699" width="24.75" style="31" bestFit="1" customWidth="1"/>
    <col min="6700" max="6701" width="27.25" style="31" bestFit="1" customWidth="1"/>
    <col min="6702" max="6702" width="8.125" style="31"/>
    <col min="6703" max="6703" width="8" style="31" bestFit="1" customWidth="1"/>
    <col min="6704" max="6704" width="10" style="31" bestFit="1" customWidth="1"/>
    <col min="6705" max="6705" width="9" style="31" bestFit="1" customWidth="1"/>
    <col min="6706" max="6706" width="9.625" style="31" bestFit="1" customWidth="1"/>
    <col min="6707" max="6707" width="9" style="31" bestFit="1" customWidth="1"/>
    <col min="6708" max="6708" width="8.125" style="31"/>
    <col min="6709" max="6709" width="16.25" style="31" customWidth="1"/>
    <col min="6710" max="6713" width="14.125" style="31" customWidth="1"/>
    <col min="6714" max="6714" width="23.375" style="31" customWidth="1"/>
    <col min="6715" max="6715" width="14.125" style="31" customWidth="1"/>
    <col min="6716" max="6912" width="8.125" style="31"/>
    <col min="6913" max="6913" width="3" style="31" bestFit="1" customWidth="1"/>
    <col min="6914" max="6914" width="8.25" style="31" bestFit="1" customWidth="1"/>
    <col min="6915" max="6915" width="28.25" style="31" bestFit="1" customWidth="1"/>
    <col min="6916" max="6916" width="13.75" style="31" bestFit="1" customWidth="1"/>
    <col min="6917" max="6917" width="12.875" style="31" bestFit="1" customWidth="1"/>
    <col min="6918" max="6918" width="19.375" style="31" bestFit="1" customWidth="1"/>
    <col min="6919" max="6919" width="14.125" style="31" bestFit="1" customWidth="1"/>
    <col min="6920" max="6920" width="16.625" style="31" bestFit="1" customWidth="1"/>
    <col min="6921" max="6921" width="11.875" style="31" bestFit="1" customWidth="1"/>
    <col min="6922" max="6924" width="23.625" style="31" bestFit="1" customWidth="1"/>
    <col min="6925" max="6927" width="24.625" style="31" bestFit="1" customWidth="1"/>
    <col min="6928" max="6928" width="24" style="31" bestFit="1" customWidth="1"/>
    <col min="6929" max="6929" width="23.375" style="31" bestFit="1" customWidth="1"/>
    <col min="6930" max="6931" width="23.625" style="31" bestFit="1" customWidth="1"/>
    <col min="6932" max="6933" width="24.625" style="31" bestFit="1" customWidth="1"/>
    <col min="6934" max="6934" width="24" style="31" bestFit="1" customWidth="1"/>
    <col min="6935" max="6935" width="23.375" style="31" bestFit="1" customWidth="1"/>
    <col min="6936" max="6937" width="18" style="31" bestFit="1" customWidth="1"/>
    <col min="6938" max="6938" width="17" style="31" bestFit="1" customWidth="1"/>
    <col min="6939" max="6939" width="13.25" style="31" bestFit="1" customWidth="1"/>
    <col min="6940" max="6942" width="14.125" style="31" bestFit="1" customWidth="1"/>
    <col min="6943" max="6944" width="27.25" style="31" bestFit="1" customWidth="1"/>
    <col min="6945" max="6945" width="22.875" style="31" bestFit="1" customWidth="1"/>
    <col min="6946" max="6946" width="30.25" style="31" bestFit="1" customWidth="1"/>
    <col min="6947" max="6947" width="16.375" style="31" bestFit="1" customWidth="1"/>
    <col min="6948" max="6948" width="10.625" style="31" bestFit="1" customWidth="1"/>
    <col min="6949" max="6949" width="12.875" style="31" bestFit="1" customWidth="1"/>
    <col min="6950" max="6950" width="17.75" style="31" bestFit="1" customWidth="1"/>
    <col min="6951" max="6951" width="11.875" style="31" bestFit="1" customWidth="1"/>
    <col min="6952" max="6952" width="19.25" style="31" bestFit="1" customWidth="1"/>
    <col min="6953" max="6953" width="11.875" style="31" bestFit="1" customWidth="1"/>
    <col min="6954" max="6954" width="20.75" style="31" bestFit="1" customWidth="1"/>
    <col min="6955" max="6955" width="24.75" style="31" bestFit="1" customWidth="1"/>
    <col min="6956" max="6957" width="27.25" style="31" bestFit="1" customWidth="1"/>
    <col min="6958" max="6958" width="8.125" style="31"/>
    <col min="6959" max="6959" width="8" style="31" bestFit="1" customWidth="1"/>
    <col min="6960" max="6960" width="10" style="31" bestFit="1" customWidth="1"/>
    <col min="6961" max="6961" width="9" style="31" bestFit="1" customWidth="1"/>
    <col min="6962" max="6962" width="9.625" style="31" bestFit="1" customWidth="1"/>
    <col min="6963" max="6963" width="9" style="31" bestFit="1" customWidth="1"/>
    <col min="6964" max="6964" width="8.125" style="31"/>
    <col min="6965" max="6965" width="16.25" style="31" customWidth="1"/>
    <col min="6966" max="6969" width="14.125" style="31" customWidth="1"/>
    <col min="6970" max="6970" width="23.375" style="31" customWidth="1"/>
    <col min="6971" max="6971" width="14.125" style="31" customWidth="1"/>
    <col min="6972" max="7168" width="8.125" style="31"/>
    <col min="7169" max="7169" width="3" style="31" bestFit="1" customWidth="1"/>
    <col min="7170" max="7170" width="8.25" style="31" bestFit="1" customWidth="1"/>
    <col min="7171" max="7171" width="28.25" style="31" bestFit="1" customWidth="1"/>
    <col min="7172" max="7172" width="13.75" style="31" bestFit="1" customWidth="1"/>
    <col min="7173" max="7173" width="12.875" style="31" bestFit="1" customWidth="1"/>
    <col min="7174" max="7174" width="19.375" style="31" bestFit="1" customWidth="1"/>
    <col min="7175" max="7175" width="14.125" style="31" bestFit="1" customWidth="1"/>
    <col min="7176" max="7176" width="16.625" style="31" bestFit="1" customWidth="1"/>
    <col min="7177" max="7177" width="11.875" style="31" bestFit="1" customWidth="1"/>
    <col min="7178" max="7180" width="23.625" style="31" bestFit="1" customWidth="1"/>
    <col min="7181" max="7183" width="24.625" style="31" bestFit="1" customWidth="1"/>
    <col min="7184" max="7184" width="24" style="31" bestFit="1" customWidth="1"/>
    <col min="7185" max="7185" width="23.375" style="31" bestFit="1" customWidth="1"/>
    <col min="7186" max="7187" width="23.625" style="31" bestFit="1" customWidth="1"/>
    <col min="7188" max="7189" width="24.625" style="31" bestFit="1" customWidth="1"/>
    <col min="7190" max="7190" width="24" style="31" bestFit="1" customWidth="1"/>
    <col min="7191" max="7191" width="23.375" style="31" bestFit="1" customWidth="1"/>
    <col min="7192" max="7193" width="18" style="31" bestFit="1" customWidth="1"/>
    <col min="7194" max="7194" width="17" style="31" bestFit="1" customWidth="1"/>
    <col min="7195" max="7195" width="13.25" style="31" bestFit="1" customWidth="1"/>
    <col min="7196" max="7198" width="14.125" style="31" bestFit="1" customWidth="1"/>
    <col min="7199" max="7200" width="27.25" style="31" bestFit="1" customWidth="1"/>
    <col min="7201" max="7201" width="22.875" style="31" bestFit="1" customWidth="1"/>
    <col min="7202" max="7202" width="30.25" style="31" bestFit="1" customWidth="1"/>
    <col min="7203" max="7203" width="16.375" style="31" bestFit="1" customWidth="1"/>
    <col min="7204" max="7204" width="10.625" style="31" bestFit="1" customWidth="1"/>
    <col min="7205" max="7205" width="12.875" style="31" bestFit="1" customWidth="1"/>
    <col min="7206" max="7206" width="17.75" style="31" bestFit="1" customWidth="1"/>
    <col min="7207" max="7207" width="11.875" style="31" bestFit="1" customWidth="1"/>
    <col min="7208" max="7208" width="19.25" style="31" bestFit="1" customWidth="1"/>
    <col min="7209" max="7209" width="11.875" style="31" bestFit="1" customWidth="1"/>
    <col min="7210" max="7210" width="20.75" style="31" bestFit="1" customWidth="1"/>
    <col min="7211" max="7211" width="24.75" style="31" bestFit="1" customWidth="1"/>
    <col min="7212" max="7213" width="27.25" style="31" bestFit="1" customWidth="1"/>
    <col min="7214" max="7214" width="8.125" style="31"/>
    <col min="7215" max="7215" width="8" style="31" bestFit="1" customWidth="1"/>
    <col min="7216" max="7216" width="10" style="31" bestFit="1" customWidth="1"/>
    <col min="7217" max="7217" width="9" style="31" bestFit="1" customWidth="1"/>
    <col min="7218" max="7218" width="9.625" style="31" bestFit="1" customWidth="1"/>
    <col min="7219" max="7219" width="9" style="31" bestFit="1" customWidth="1"/>
    <col min="7220" max="7220" width="8.125" style="31"/>
    <col min="7221" max="7221" width="16.25" style="31" customWidth="1"/>
    <col min="7222" max="7225" width="14.125" style="31" customWidth="1"/>
    <col min="7226" max="7226" width="23.375" style="31" customWidth="1"/>
    <col min="7227" max="7227" width="14.125" style="31" customWidth="1"/>
    <col min="7228" max="7424" width="8.125" style="31"/>
    <col min="7425" max="7425" width="3" style="31" bestFit="1" customWidth="1"/>
    <col min="7426" max="7426" width="8.25" style="31" bestFit="1" customWidth="1"/>
    <col min="7427" max="7427" width="28.25" style="31" bestFit="1" customWidth="1"/>
    <col min="7428" max="7428" width="13.75" style="31" bestFit="1" customWidth="1"/>
    <col min="7429" max="7429" width="12.875" style="31" bestFit="1" customWidth="1"/>
    <col min="7430" max="7430" width="19.375" style="31" bestFit="1" customWidth="1"/>
    <col min="7431" max="7431" width="14.125" style="31" bestFit="1" customWidth="1"/>
    <col min="7432" max="7432" width="16.625" style="31" bestFit="1" customWidth="1"/>
    <col min="7433" max="7433" width="11.875" style="31" bestFit="1" customWidth="1"/>
    <col min="7434" max="7436" width="23.625" style="31" bestFit="1" customWidth="1"/>
    <col min="7437" max="7439" width="24.625" style="31" bestFit="1" customWidth="1"/>
    <col min="7440" max="7440" width="24" style="31" bestFit="1" customWidth="1"/>
    <col min="7441" max="7441" width="23.375" style="31" bestFit="1" customWidth="1"/>
    <col min="7442" max="7443" width="23.625" style="31" bestFit="1" customWidth="1"/>
    <col min="7444" max="7445" width="24.625" style="31" bestFit="1" customWidth="1"/>
    <col min="7446" max="7446" width="24" style="31" bestFit="1" customWidth="1"/>
    <col min="7447" max="7447" width="23.375" style="31" bestFit="1" customWidth="1"/>
    <col min="7448" max="7449" width="18" style="31" bestFit="1" customWidth="1"/>
    <col min="7450" max="7450" width="17" style="31" bestFit="1" customWidth="1"/>
    <col min="7451" max="7451" width="13.25" style="31" bestFit="1" customWidth="1"/>
    <col min="7452" max="7454" width="14.125" style="31" bestFit="1" customWidth="1"/>
    <col min="7455" max="7456" width="27.25" style="31" bestFit="1" customWidth="1"/>
    <col min="7457" max="7457" width="22.875" style="31" bestFit="1" customWidth="1"/>
    <col min="7458" max="7458" width="30.25" style="31" bestFit="1" customWidth="1"/>
    <col min="7459" max="7459" width="16.375" style="31" bestFit="1" customWidth="1"/>
    <col min="7460" max="7460" width="10.625" style="31" bestFit="1" customWidth="1"/>
    <col min="7461" max="7461" width="12.875" style="31" bestFit="1" customWidth="1"/>
    <col min="7462" max="7462" width="17.75" style="31" bestFit="1" customWidth="1"/>
    <col min="7463" max="7463" width="11.875" style="31" bestFit="1" customWidth="1"/>
    <col min="7464" max="7464" width="19.25" style="31" bestFit="1" customWidth="1"/>
    <col min="7465" max="7465" width="11.875" style="31" bestFit="1" customWidth="1"/>
    <col min="7466" max="7466" width="20.75" style="31" bestFit="1" customWidth="1"/>
    <col min="7467" max="7467" width="24.75" style="31" bestFit="1" customWidth="1"/>
    <col min="7468" max="7469" width="27.25" style="31" bestFit="1" customWidth="1"/>
    <col min="7470" max="7470" width="8.125" style="31"/>
    <col min="7471" max="7471" width="8" style="31" bestFit="1" customWidth="1"/>
    <col min="7472" max="7472" width="10" style="31" bestFit="1" customWidth="1"/>
    <col min="7473" max="7473" width="9" style="31" bestFit="1" customWidth="1"/>
    <col min="7474" max="7474" width="9.625" style="31" bestFit="1" customWidth="1"/>
    <col min="7475" max="7475" width="9" style="31" bestFit="1" customWidth="1"/>
    <col min="7476" max="7476" width="8.125" style="31"/>
    <col min="7477" max="7477" width="16.25" style="31" customWidth="1"/>
    <col min="7478" max="7481" width="14.125" style="31" customWidth="1"/>
    <col min="7482" max="7482" width="23.375" style="31" customWidth="1"/>
    <col min="7483" max="7483" width="14.125" style="31" customWidth="1"/>
    <col min="7484" max="7680" width="8.125" style="31"/>
    <col min="7681" max="7681" width="3" style="31" bestFit="1" customWidth="1"/>
    <col min="7682" max="7682" width="8.25" style="31" bestFit="1" customWidth="1"/>
    <col min="7683" max="7683" width="28.25" style="31" bestFit="1" customWidth="1"/>
    <col min="7684" max="7684" width="13.75" style="31" bestFit="1" customWidth="1"/>
    <col min="7685" max="7685" width="12.875" style="31" bestFit="1" customWidth="1"/>
    <col min="7686" max="7686" width="19.375" style="31" bestFit="1" customWidth="1"/>
    <col min="7687" max="7687" width="14.125" style="31" bestFit="1" customWidth="1"/>
    <col min="7688" max="7688" width="16.625" style="31" bestFit="1" customWidth="1"/>
    <col min="7689" max="7689" width="11.875" style="31" bestFit="1" customWidth="1"/>
    <col min="7690" max="7692" width="23.625" style="31" bestFit="1" customWidth="1"/>
    <col min="7693" max="7695" width="24.625" style="31" bestFit="1" customWidth="1"/>
    <col min="7696" max="7696" width="24" style="31" bestFit="1" customWidth="1"/>
    <col min="7697" max="7697" width="23.375" style="31" bestFit="1" customWidth="1"/>
    <col min="7698" max="7699" width="23.625" style="31" bestFit="1" customWidth="1"/>
    <col min="7700" max="7701" width="24.625" style="31" bestFit="1" customWidth="1"/>
    <col min="7702" max="7702" width="24" style="31" bestFit="1" customWidth="1"/>
    <col min="7703" max="7703" width="23.375" style="31" bestFit="1" customWidth="1"/>
    <col min="7704" max="7705" width="18" style="31" bestFit="1" customWidth="1"/>
    <col min="7706" max="7706" width="17" style="31" bestFit="1" customWidth="1"/>
    <col min="7707" max="7707" width="13.25" style="31" bestFit="1" customWidth="1"/>
    <col min="7708" max="7710" width="14.125" style="31" bestFit="1" customWidth="1"/>
    <col min="7711" max="7712" width="27.25" style="31" bestFit="1" customWidth="1"/>
    <col min="7713" max="7713" width="22.875" style="31" bestFit="1" customWidth="1"/>
    <col min="7714" max="7714" width="30.25" style="31" bestFit="1" customWidth="1"/>
    <col min="7715" max="7715" width="16.375" style="31" bestFit="1" customWidth="1"/>
    <col min="7716" max="7716" width="10.625" style="31" bestFit="1" customWidth="1"/>
    <col min="7717" max="7717" width="12.875" style="31" bestFit="1" customWidth="1"/>
    <col min="7718" max="7718" width="17.75" style="31" bestFit="1" customWidth="1"/>
    <col min="7719" max="7719" width="11.875" style="31" bestFit="1" customWidth="1"/>
    <col min="7720" max="7720" width="19.25" style="31" bestFit="1" customWidth="1"/>
    <col min="7721" max="7721" width="11.875" style="31" bestFit="1" customWidth="1"/>
    <col min="7722" max="7722" width="20.75" style="31" bestFit="1" customWidth="1"/>
    <col min="7723" max="7723" width="24.75" style="31" bestFit="1" customWidth="1"/>
    <col min="7724" max="7725" width="27.25" style="31" bestFit="1" customWidth="1"/>
    <col min="7726" max="7726" width="8.125" style="31"/>
    <col min="7727" max="7727" width="8" style="31" bestFit="1" customWidth="1"/>
    <col min="7728" max="7728" width="10" style="31" bestFit="1" customWidth="1"/>
    <col min="7729" max="7729" width="9" style="31" bestFit="1" customWidth="1"/>
    <col min="7730" max="7730" width="9.625" style="31" bestFit="1" customWidth="1"/>
    <col min="7731" max="7731" width="9" style="31" bestFit="1" customWidth="1"/>
    <col min="7732" max="7732" width="8.125" style="31"/>
    <col min="7733" max="7733" width="16.25" style="31" customWidth="1"/>
    <col min="7734" max="7737" width="14.125" style="31" customWidth="1"/>
    <col min="7738" max="7738" width="23.375" style="31" customWidth="1"/>
    <col min="7739" max="7739" width="14.125" style="31" customWidth="1"/>
    <col min="7740" max="7936" width="8.125" style="31"/>
    <col min="7937" max="7937" width="3" style="31" bestFit="1" customWidth="1"/>
    <col min="7938" max="7938" width="8.25" style="31" bestFit="1" customWidth="1"/>
    <col min="7939" max="7939" width="28.25" style="31" bestFit="1" customWidth="1"/>
    <col min="7940" max="7940" width="13.75" style="31" bestFit="1" customWidth="1"/>
    <col min="7941" max="7941" width="12.875" style="31" bestFit="1" customWidth="1"/>
    <col min="7942" max="7942" width="19.375" style="31" bestFit="1" customWidth="1"/>
    <col min="7943" max="7943" width="14.125" style="31" bestFit="1" customWidth="1"/>
    <col min="7944" max="7944" width="16.625" style="31" bestFit="1" customWidth="1"/>
    <col min="7945" max="7945" width="11.875" style="31" bestFit="1" customWidth="1"/>
    <col min="7946" max="7948" width="23.625" style="31" bestFit="1" customWidth="1"/>
    <col min="7949" max="7951" width="24.625" style="31" bestFit="1" customWidth="1"/>
    <col min="7952" max="7952" width="24" style="31" bestFit="1" customWidth="1"/>
    <col min="7953" max="7953" width="23.375" style="31" bestFit="1" customWidth="1"/>
    <col min="7954" max="7955" width="23.625" style="31" bestFit="1" customWidth="1"/>
    <col min="7956" max="7957" width="24.625" style="31" bestFit="1" customWidth="1"/>
    <col min="7958" max="7958" width="24" style="31" bestFit="1" customWidth="1"/>
    <col min="7959" max="7959" width="23.375" style="31" bestFit="1" customWidth="1"/>
    <col min="7960" max="7961" width="18" style="31" bestFit="1" customWidth="1"/>
    <col min="7962" max="7962" width="17" style="31" bestFit="1" customWidth="1"/>
    <col min="7963" max="7963" width="13.25" style="31" bestFit="1" customWidth="1"/>
    <col min="7964" max="7966" width="14.125" style="31" bestFit="1" customWidth="1"/>
    <col min="7967" max="7968" width="27.25" style="31" bestFit="1" customWidth="1"/>
    <col min="7969" max="7969" width="22.875" style="31" bestFit="1" customWidth="1"/>
    <col min="7970" max="7970" width="30.25" style="31" bestFit="1" customWidth="1"/>
    <col min="7971" max="7971" width="16.375" style="31" bestFit="1" customWidth="1"/>
    <col min="7972" max="7972" width="10.625" style="31" bestFit="1" customWidth="1"/>
    <col min="7973" max="7973" width="12.875" style="31" bestFit="1" customWidth="1"/>
    <col min="7974" max="7974" width="17.75" style="31" bestFit="1" customWidth="1"/>
    <col min="7975" max="7975" width="11.875" style="31" bestFit="1" customWidth="1"/>
    <col min="7976" max="7976" width="19.25" style="31" bestFit="1" customWidth="1"/>
    <col min="7977" max="7977" width="11.875" style="31" bestFit="1" customWidth="1"/>
    <col min="7978" max="7978" width="20.75" style="31" bestFit="1" customWidth="1"/>
    <col min="7979" max="7979" width="24.75" style="31" bestFit="1" customWidth="1"/>
    <col min="7980" max="7981" width="27.25" style="31" bestFit="1" customWidth="1"/>
    <col min="7982" max="7982" width="8.125" style="31"/>
    <col min="7983" max="7983" width="8" style="31" bestFit="1" customWidth="1"/>
    <col min="7984" max="7984" width="10" style="31" bestFit="1" customWidth="1"/>
    <col min="7985" max="7985" width="9" style="31" bestFit="1" customWidth="1"/>
    <col min="7986" max="7986" width="9.625" style="31" bestFit="1" customWidth="1"/>
    <col min="7987" max="7987" width="9" style="31" bestFit="1" customWidth="1"/>
    <col min="7988" max="7988" width="8.125" style="31"/>
    <col min="7989" max="7989" width="16.25" style="31" customWidth="1"/>
    <col min="7990" max="7993" width="14.125" style="31" customWidth="1"/>
    <col min="7994" max="7994" width="23.375" style="31" customWidth="1"/>
    <col min="7995" max="7995" width="14.125" style="31" customWidth="1"/>
    <col min="7996" max="8192" width="8.125" style="31"/>
    <col min="8193" max="8193" width="3" style="31" bestFit="1" customWidth="1"/>
    <col min="8194" max="8194" width="8.25" style="31" bestFit="1" customWidth="1"/>
    <col min="8195" max="8195" width="28.25" style="31" bestFit="1" customWidth="1"/>
    <col min="8196" max="8196" width="13.75" style="31" bestFit="1" customWidth="1"/>
    <col min="8197" max="8197" width="12.875" style="31" bestFit="1" customWidth="1"/>
    <col min="8198" max="8198" width="19.375" style="31" bestFit="1" customWidth="1"/>
    <col min="8199" max="8199" width="14.125" style="31" bestFit="1" customWidth="1"/>
    <col min="8200" max="8200" width="16.625" style="31" bestFit="1" customWidth="1"/>
    <col min="8201" max="8201" width="11.875" style="31" bestFit="1" customWidth="1"/>
    <col min="8202" max="8204" width="23.625" style="31" bestFit="1" customWidth="1"/>
    <col min="8205" max="8207" width="24.625" style="31" bestFit="1" customWidth="1"/>
    <col min="8208" max="8208" width="24" style="31" bestFit="1" customWidth="1"/>
    <col min="8209" max="8209" width="23.375" style="31" bestFit="1" customWidth="1"/>
    <col min="8210" max="8211" width="23.625" style="31" bestFit="1" customWidth="1"/>
    <col min="8212" max="8213" width="24.625" style="31" bestFit="1" customWidth="1"/>
    <col min="8214" max="8214" width="24" style="31" bestFit="1" customWidth="1"/>
    <col min="8215" max="8215" width="23.375" style="31" bestFit="1" customWidth="1"/>
    <col min="8216" max="8217" width="18" style="31" bestFit="1" customWidth="1"/>
    <col min="8218" max="8218" width="17" style="31" bestFit="1" customWidth="1"/>
    <col min="8219" max="8219" width="13.25" style="31" bestFit="1" customWidth="1"/>
    <col min="8220" max="8222" width="14.125" style="31" bestFit="1" customWidth="1"/>
    <col min="8223" max="8224" width="27.25" style="31" bestFit="1" customWidth="1"/>
    <col min="8225" max="8225" width="22.875" style="31" bestFit="1" customWidth="1"/>
    <col min="8226" max="8226" width="30.25" style="31" bestFit="1" customWidth="1"/>
    <col min="8227" max="8227" width="16.375" style="31" bestFit="1" customWidth="1"/>
    <col min="8228" max="8228" width="10.625" style="31" bestFit="1" customWidth="1"/>
    <col min="8229" max="8229" width="12.875" style="31" bestFit="1" customWidth="1"/>
    <col min="8230" max="8230" width="17.75" style="31" bestFit="1" customWidth="1"/>
    <col min="8231" max="8231" width="11.875" style="31" bestFit="1" customWidth="1"/>
    <col min="8232" max="8232" width="19.25" style="31" bestFit="1" customWidth="1"/>
    <col min="8233" max="8233" width="11.875" style="31" bestFit="1" customWidth="1"/>
    <col min="8234" max="8234" width="20.75" style="31" bestFit="1" customWidth="1"/>
    <col min="8235" max="8235" width="24.75" style="31" bestFit="1" customWidth="1"/>
    <col min="8236" max="8237" width="27.25" style="31" bestFit="1" customWidth="1"/>
    <col min="8238" max="8238" width="8.125" style="31"/>
    <col min="8239" max="8239" width="8" style="31" bestFit="1" customWidth="1"/>
    <col min="8240" max="8240" width="10" style="31" bestFit="1" customWidth="1"/>
    <col min="8241" max="8241" width="9" style="31" bestFit="1" customWidth="1"/>
    <col min="8242" max="8242" width="9.625" style="31" bestFit="1" customWidth="1"/>
    <col min="8243" max="8243" width="9" style="31" bestFit="1" customWidth="1"/>
    <col min="8244" max="8244" width="8.125" style="31"/>
    <col min="8245" max="8245" width="16.25" style="31" customWidth="1"/>
    <col min="8246" max="8249" width="14.125" style="31" customWidth="1"/>
    <col min="8250" max="8250" width="23.375" style="31" customWidth="1"/>
    <col min="8251" max="8251" width="14.125" style="31" customWidth="1"/>
    <col min="8252" max="8448" width="8.125" style="31"/>
    <col min="8449" max="8449" width="3" style="31" bestFit="1" customWidth="1"/>
    <col min="8450" max="8450" width="8.25" style="31" bestFit="1" customWidth="1"/>
    <col min="8451" max="8451" width="28.25" style="31" bestFit="1" customWidth="1"/>
    <col min="8452" max="8452" width="13.75" style="31" bestFit="1" customWidth="1"/>
    <col min="8453" max="8453" width="12.875" style="31" bestFit="1" customWidth="1"/>
    <col min="8454" max="8454" width="19.375" style="31" bestFit="1" customWidth="1"/>
    <col min="8455" max="8455" width="14.125" style="31" bestFit="1" customWidth="1"/>
    <col min="8456" max="8456" width="16.625" style="31" bestFit="1" customWidth="1"/>
    <col min="8457" max="8457" width="11.875" style="31" bestFit="1" customWidth="1"/>
    <col min="8458" max="8460" width="23.625" style="31" bestFit="1" customWidth="1"/>
    <col min="8461" max="8463" width="24.625" style="31" bestFit="1" customWidth="1"/>
    <col min="8464" max="8464" width="24" style="31" bestFit="1" customWidth="1"/>
    <col min="8465" max="8465" width="23.375" style="31" bestFit="1" customWidth="1"/>
    <col min="8466" max="8467" width="23.625" style="31" bestFit="1" customWidth="1"/>
    <col min="8468" max="8469" width="24.625" style="31" bestFit="1" customWidth="1"/>
    <col min="8470" max="8470" width="24" style="31" bestFit="1" customWidth="1"/>
    <col min="8471" max="8471" width="23.375" style="31" bestFit="1" customWidth="1"/>
    <col min="8472" max="8473" width="18" style="31" bestFit="1" customWidth="1"/>
    <col min="8474" max="8474" width="17" style="31" bestFit="1" customWidth="1"/>
    <col min="8475" max="8475" width="13.25" style="31" bestFit="1" customWidth="1"/>
    <col min="8476" max="8478" width="14.125" style="31" bestFit="1" customWidth="1"/>
    <col min="8479" max="8480" width="27.25" style="31" bestFit="1" customWidth="1"/>
    <col min="8481" max="8481" width="22.875" style="31" bestFit="1" customWidth="1"/>
    <col min="8482" max="8482" width="30.25" style="31" bestFit="1" customWidth="1"/>
    <col min="8483" max="8483" width="16.375" style="31" bestFit="1" customWidth="1"/>
    <col min="8484" max="8484" width="10.625" style="31" bestFit="1" customWidth="1"/>
    <col min="8485" max="8485" width="12.875" style="31" bestFit="1" customWidth="1"/>
    <col min="8486" max="8486" width="17.75" style="31" bestFit="1" customWidth="1"/>
    <col min="8487" max="8487" width="11.875" style="31" bestFit="1" customWidth="1"/>
    <col min="8488" max="8488" width="19.25" style="31" bestFit="1" customWidth="1"/>
    <col min="8489" max="8489" width="11.875" style="31" bestFit="1" customWidth="1"/>
    <col min="8490" max="8490" width="20.75" style="31" bestFit="1" customWidth="1"/>
    <col min="8491" max="8491" width="24.75" style="31" bestFit="1" customWidth="1"/>
    <col min="8492" max="8493" width="27.25" style="31" bestFit="1" customWidth="1"/>
    <col min="8494" max="8494" width="8.125" style="31"/>
    <col min="8495" max="8495" width="8" style="31" bestFit="1" customWidth="1"/>
    <col min="8496" max="8496" width="10" style="31" bestFit="1" customWidth="1"/>
    <col min="8497" max="8497" width="9" style="31" bestFit="1" customWidth="1"/>
    <col min="8498" max="8498" width="9.625" style="31" bestFit="1" customWidth="1"/>
    <col min="8499" max="8499" width="9" style="31" bestFit="1" customWidth="1"/>
    <col min="8500" max="8500" width="8.125" style="31"/>
    <col min="8501" max="8501" width="16.25" style="31" customWidth="1"/>
    <col min="8502" max="8505" width="14.125" style="31" customWidth="1"/>
    <col min="8506" max="8506" width="23.375" style="31" customWidth="1"/>
    <col min="8507" max="8507" width="14.125" style="31" customWidth="1"/>
    <col min="8508" max="8704" width="8.125" style="31"/>
    <col min="8705" max="8705" width="3" style="31" bestFit="1" customWidth="1"/>
    <col min="8706" max="8706" width="8.25" style="31" bestFit="1" customWidth="1"/>
    <col min="8707" max="8707" width="28.25" style="31" bestFit="1" customWidth="1"/>
    <col min="8708" max="8708" width="13.75" style="31" bestFit="1" customWidth="1"/>
    <col min="8709" max="8709" width="12.875" style="31" bestFit="1" customWidth="1"/>
    <col min="8710" max="8710" width="19.375" style="31" bestFit="1" customWidth="1"/>
    <col min="8711" max="8711" width="14.125" style="31" bestFit="1" customWidth="1"/>
    <col min="8712" max="8712" width="16.625" style="31" bestFit="1" customWidth="1"/>
    <col min="8713" max="8713" width="11.875" style="31" bestFit="1" customWidth="1"/>
    <col min="8714" max="8716" width="23.625" style="31" bestFit="1" customWidth="1"/>
    <col min="8717" max="8719" width="24.625" style="31" bestFit="1" customWidth="1"/>
    <col min="8720" max="8720" width="24" style="31" bestFit="1" customWidth="1"/>
    <col min="8721" max="8721" width="23.375" style="31" bestFit="1" customWidth="1"/>
    <col min="8722" max="8723" width="23.625" style="31" bestFit="1" customWidth="1"/>
    <col min="8724" max="8725" width="24.625" style="31" bestFit="1" customWidth="1"/>
    <col min="8726" max="8726" width="24" style="31" bestFit="1" customWidth="1"/>
    <col min="8727" max="8727" width="23.375" style="31" bestFit="1" customWidth="1"/>
    <col min="8728" max="8729" width="18" style="31" bestFit="1" customWidth="1"/>
    <col min="8730" max="8730" width="17" style="31" bestFit="1" customWidth="1"/>
    <col min="8731" max="8731" width="13.25" style="31" bestFit="1" customWidth="1"/>
    <col min="8732" max="8734" width="14.125" style="31" bestFit="1" customWidth="1"/>
    <col min="8735" max="8736" width="27.25" style="31" bestFit="1" customWidth="1"/>
    <col min="8737" max="8737" width="22.875" style="31" bestFit="1" customWidth="1"/>
    <col min="8738" max="8738" width="30.25" style="31" bestFit="1" customWidth="1"/>
    <col min="8739" max="8739" width="16.375" style="31" bestFit="1" customWidth="1"/>
    <col min="8740" max="8740" width="10.625" style="31" bestFit="1" customWidth="1"/>
    <col min="8741" max="8741" width="12.875" style="31" bestFit="1" customWidth="1"/>
    <col min="8742" max="8742" width="17.75" style="31" bestFit="1" customWidth="1"/>
    <col min="8743" max="8743" width="11.875" style="31" bestFit="1" customWidth="1"/>
    <col min="8744" max="8744" width="19.25" style="31" bestFit="1" customWidth="1"/>
    <col min="8745" max="8745" width="11.875" style="31" bestFit="1" customWidth="1"/>
    <col min="8746" max="8746" width="20.75" style="31" bestFit="1" customWidth="1"/>
    <col min="8747" max="8747" width="24.75" style="31" bestFit="1" customWidth="1"/>
    <col min="8748" max="8749" width="27.25" style="31" bestFit="1" customWidth="1"/>
    <col min="8750" max="8750" width="8.125" style="31"/>
    <col min="8751" max="8751" width="8" style="31" bestFit="1" customWidth="1"/>
    <col min="8752" max="8752" width="10" style="31" bestFit="1" customWidth="1"/>
    <col min="8753" max="8753" width="9" style="31" bestFit="1" customWidth="1"/>
    <col min="8754" max="8754" width="9.625" style="31" bestFit="1" customWidth="1"/>
    <col min="8755" max="8755" width="9" style="31" bestFit="1" customWidth="1"/>
    <col min="8756" max="8756" width="8.125" style="31"/>
    <col min="8757" max="8757" width="16.25" style="31" customWidth="1"/>
    <col min="8758" max="8761" width="14.125" style="31" customWidth="1"/>
    <col min="8762" max="8762" width="23.375" style="31" customWidth="1"/>
    <col min="8763" max="8763" width="14.125" style="31" customWidth="1"/>
    <col min="8764" max="8960" width="8.125" style="31"/>
    <col min="8961" max="8961" width="3" style="31" bestFit="1" customWidth="1"/>
    <col min="8962" max="8962" width="8.25" style="31" bestFit="1" customWidth="1"/>
    <col min="8963" max="8963" width="28.25" style="31" bestFit="1" customWidth="1"/>
    <col min="8964" max="8964" width="13.75" style="31" bestFit="1" customWidth="1"/>
    <col min="8965" max="8965" width="12.875" style="31" bestFit="1" customWidth="1"/>
    <col min="8966" max="8966" width="19.375" style="31" bestFit="1" customWidth="1"/>
    <col min="8967" max="8967" width="14.125" style="31" bestFit="1" customWidth="1"/>
    <col min="8968" max="8968" width="16.625" style="31" bestFit="1" customWidth="1"/>
    <col min="8969" max="8969" width="11.875" style="31" bestFit="1" customWidth="1"/>
    <col min="8970" max="8972" width="23.625" style="31" bestFit="1" customWidth="1"/>
    <col min="8973" max="8975" width="24.625" style="31" bestFit="1" customWidth="1"/>
    <col min="8976" max="8976" width="24" style="31" bestFit="1" customWidth="1"/>
    <col min="8977" max="8977" width="23.375" style="31" bestFit="1" customWidth="1"/>
    <col min="8978" max="8979" width="23.625" style="31" bestFit="1" customWidth="1"/>
    <col min="8980" max="8981" width="24.625" style="31" bestFit="1" customWidth="1"/>
    <col min="8982" max="8982" width="24" style="31" bestFit="1" customWidth="1"/>
    <col min="8983" max="8983" width="23.375" style="31" bestFit="1" customWidth="1"/>
    <col min="8984" max="8985" width="18" style="31" bestFit="1" customWidth="1"/>
    <col min="8986" max="8986" width="17" style="31" bestFit="1" customWidth="1"/>
    <col min="8987" max="8987" width="13.25" style="31" bestFit="1" customWidth="1"/>
    <col min="8988" max="8990" width="14.125" style="31" bestFit="1" customWidth="1"/>
    <col min="8991" max="8992" width="27.25" style="31" bestFit="1" customWidth="1"/>
    <col min="8993" max="8993" width="22.875" style="31" bestFit="1" customWidth="1"/>
    <col min="8994" max="8994" width="30.25" style="31" bestFit="1" customWidth="1"/>
    <col min="8995" max="8995" width="16.375" style="31" bestFit="1" customWidth="1"/>
    <col min="8996" max="8996" width="10.625" style="31" bestFit="1" customWidth="1"/>
    <col min="8997" max="8997" width="12.875" style="31" bestFit="1" customWidth="1"/>
    <col min="8998" max="8998" width="17.75" style="31" bestFit="1" customWidth="1"/>
    <col min="8999" max="8999" width="11.875" style="31" bestFit="1" customWidth="1"/>
    <col min="9000" max="9000" width="19.25" style="31" bestFit="1" customWidth="1"/>
    <col min="9001" max="9001" width="11.875" style="31" bestFit="1" customWidth="1"/>
    <col min="9002" max="9002" width="20.75" style="31" bestFit="1" customWidth="1"/>
    <col min="9003" max="9003" width="24.75" style="31" bestFit="1" customWidth="1"/>
    <col min="9004" max="9005" width="27.25" style="31" bestFit="1" customWidth="1"/>
    <col min="9006" max="9006" width="8.125" style="31"/>
    <col min="9007" max="9007" width="8" style="31" bestFit="1" customWidth="1"/>
    <col min="9008" max="9008" width="10" style="31" bestFit="1" customWidth="1"/>
    <col min="9009" max="9009" width="9" style="31" bestFit="1" customWidth="1"/>
    <col min="9010" max="9010" width="9.625" style="31" bestFit="1" customWidth="1"/>
    <col min="9011" max="9011" width="9" style="31" bestFit="1" customWidth="1"/>
    <col min="9012" max="9012" width="8.125" style="31"/>
    <col min="9013" max="9013" width="16.25" style="31" customWidth="1"/>
    <col min="9014" max="9017" width="14.125" style="31" customWidth="1"/>
    <col min="9018" max="9018" width="23.375" style="31" customWidth="1"/>
    <col min="9019" max="9019" width="14.125" style="31" customWidth="1"/>
    <col min="9020" max="9216" width="8.125" style="31"/>
    <col min="9217" max="9217" width="3" style="31" bestFit="1" customWidth="1"/>
    <col min="9218" max="9218" width="8.25" style="31" bestFit="1" customWidth="1"/>
    <col min="9219" max="9219" width="28.25" style="31" bestFit="1" customWidth="1"/>
    <col min="9220" max="9220" width="13.75" style="31" bestFit="1" customWidth="1"/>
    <col min="9221" max="9221" width="12.875" style="31" bestFit="1" customWidth="1"/>
    <col min="9222" max="9222" width="19.375" style="31" bestFit="1" customWidth="1"/>
    <col min="9223" max="9223" width="14.125" style="31" bestFit="1" customWidth="1"/>
    <col min="9224" max="9224" width="16.625" style="31" bestFit="1" customWidth="1"/>
    <col min="9225" max="9225" width="11.875" style="31" bestFit="1" customWidth="1"/>
    <col min="9226" max="9228" width="23.625" style="31" bestFit="1" customWidth="1"/>
    <col min="9229" max="9231" width="24.625" style="31" bestFit="1" customWidth="1"/>
    <col min="9232" max="9232" width="24" style="31" bestFit="1" customWidth="1"/>
    <col min="9233" max="9233" width="23.375" style="31" bestFit="1" customWidth="1"/>
    <col min="9234" max="9235" width="23.625" style="31" bestFit="1" customWidth="1"/>
    <col min="9236" max="9237" width="24.625" style="31" bestFit="1" customWidth="1"/>
    <col min="9238" max="9238" width="24" style="31" bestFit="1" customWidth="1"/>
    <col min="9239" max="9239" width="23.375" style="31" bestFit="1" customWidth="1"/>
    <col min="9240" max="9241" width="18" style="31" bestFit="1" customWidth="1"/>
    <col min="9242" max="9242" width="17" style="31" bestFit="1" customWidth="1"/>
    <col min="9243" max="9243" width="13.25" style="31" bestFit="1" customWidth="1"/>
    <col min="9244" max="9246" width="14.125" style="31" bestFit="1" customWidth="1"/>
    <col min="9247" max="9248" width="27.25" style="31" bestFit="1" customWidth="1"/>
    <col min="9249" max="9249" width="22.875" style="31" bestFit="1" customWidth="1"/>
    <col min="9250" max="9250" width="30.25" style="31" bestFit="1" customWidth="1"/>
    <col min="9251" max="9251" width="16.375" style="31" bestFit="1" customWidth="1"/>
    <col min="9252" max="9252" width="10.625" style="31" bestFit="1" customWidth="1"/>
    <col min="9253" max="9253" width="12.875" style="31" bestFit="1" customWidth="1"/>
    <col min="9254" max="9254" width="17.75" style="31" bestFit="1" customWidth="1"/>
    <col min="9255" max="9255" width="11.875" style="31" bestFit="1" customWidth="1"/>
    <col min="9256" max="9256" width="19.25" style="31" bestFit="1" customWidth="1"/>
    <col min="9257" max="9257" width="11.875" style="31" bestFit="1" customWidth="1"/>
    <col min="9258" max="9258" width="20.75" style="31" bestFit="1" customWidth="1"/>
    <col min="9259" max="9259" width="24.75" style="31" bestFit="1" customWidth="1"/>
    <col min="9260" max="9261" width="27.25" style="31" bestFit="1" customWidth="1"/>
    <col min="9262" max="9262" width="8.125" style="31"/>
    <col min="9263" max="9263" width="8" style="31" bestFit="1" customWidth="1"/>
    <col min="9264" max="9264" width="10" style="31" bestFit="1" customWidth="1"/>
    <col min="9265" max="9265" width="9" style="31" bestFit="1" customWidth="1"/>
    <col min="9266" max="9266" width="9.625" style="31" bestFit="1" customWidth="1"/>
    <col min="9267" max="9267" width="9" style="31" bestFit="1" customWidth="1"/>
    <col min="9268" max="9268" width="8.125" style="31"/>
    <col min="9269" max="9269" width="16.25" style="31" customWidth="1"/>
    <col min="9270" max="9273" width="14.125" style="31" customWidth="1"/>
    <col min="9274" max="9274" width="23.375" style="31" customWidth="1"/>
    <col min="9275" max="9275" width="14.125" style="31" customWidth="1"/>
    <col min="9276" max="9472" width="8.125" style="31"/>
    <col min="9473" max="9473" width="3" style="31" bestFit="1" customWidth="1"/>
    <col min="9474" max="9474" width="8.25" style="31" bestFit="1" customWidth="1"/>
    <col min="9475" max="9475" width="28.25" style="31" bestFit="1" customWidth="1"/>
    <col min="9476" max="9476" width="13.75" style="31" bestFit="1" customWidth="1"/>
    <col min="9477" max="9477" width="12.875" style="31" bestFit="1" customWidth="1"/>
    <col min="9478" max="9478" width="19.375" style="31" bestFit="1" customWidth="1"/>
    <col min="9479" max="9479" width="14.125" style="31" bestFit="1" customWidth="1"/>
    <col min="9480" max="9480" width="16.625" style="31" bestFit="1" customWidth="1"/>
    <col min="9481" max="9481" width="11.875" style="31" bestFit="1" customWidth="1"/>
    <col min="9482" max="9484" width="23.625" style="31" bestFit="1" customWidth="1"/>
    <col min="9485" max="9487" width="24.625" style="31" bestFit="1" customWidth="1"/>
    <col min="9488" max="9488" width="24" style="31" bestFit="1" customWidth="1"/>
    <col min="9489" max="9489" width="23.375" style="31" bestFit="1" customWidth="1"/>
    <col min="9490" max="9491" width="23.625" style="31" bestFit="1" customWidth="1"/>
    <col min="9492" max="9493" width="24.625" style="31" bestFit="1" customWidth="1"/>
    <col min="9494" max="9494" width="24" style="31" bestFit="1" customWidth="1"/>
    <col min="9495" max="9495" width="23.375" style="31" bestFit="1" customWidth="1"/>
    <col min="9496" max="9497" width="18" style="31" bestFit="1" customWidth="1"/>
    <col min="9498" max="9498" width="17" style="31" bestFit="1" customWidth="1"/>
    <col min="9499" max="9499" width="13.25" style="31" bestFit="1" customWidth="1"/>
    <col min="9500" max="9502" width="14.125" style="31" bestFit="1" customWidth="1"/>
    <col min="9503" max="9504" width="27.25" style="31" bestFit="1" customWidth="1"/>
    <col min="9505" max="9505" width="22.875" style="31" bestFit="1" customWidth="1"/>
    <col min="9506" max="9506" width="30.25" style="31" bestFit="1" customWidth="1"/>
    <col min="9507" max="9507" width="16.375" style="31" bestFit="1" customWidth="1"/>
    <col min="9508" max="9508" width="10.625" style="31" bestFit="1" customWidth="1"/>
    <col min="9509" max="9509" width="12.875" style="31" bestFit="1" customWidth="1"/>
    <col min="9510" max="9510" width="17.75" style="31" bestFit="1" customWidth="1"/>
    <col min="9511" max="9511" width="11.875" style="31" bestFit="1" customWidth="1"/>
    <col min="9512" max="9512" width="19.25" style="31" bestFit="1" customWidth="1"/>
    <col min="9513" max="9513" width="11.875" style="31" bestFit="1" customWidth="1"/>
    <col min="9514" max="9514" width="20.75" style="31" bestFit="1" customWidth="1"/>
    <col min="9515" max="9515" width="24.75" style="31" bestFit="1" customWidth="1"/>
    <col min="9516" max="9517" width="27.25" style="31" bestFit="1" customWidth="1"/>
    <col min="9518" max="9518" width="8.125" style="31"/>
    <col min="9519" max="9519" width="8" style="31" bestFit="1" customWidth="1"/>
    <col min="9520" max="9520" width="10" style="31" bestFit="1" customWidth="1"/>
    <col min="9521" max="9521" width="9" style="31" bestFit="1" customWidth="1"/>
    <col min="9522" max="9522" width="9.625" style="31" bestFit="1" customWidth="1"/>
    <col min="9523" max="9523" width="9" style="31" bestFit="1" customWidth="1"/>
    <col min="9524" max="9524" width="8.125" style="31"/>
    <col min="9525" max="9525" width="16.25" style="31" customWidth="1"/>
    <col min="9526" max="9529" width="14.125" style="31" customWidth="1"/>
    <col min="9530" max="9530" width="23.375" style="31" customWidth="1"/>
    <col min="9531" max="9531" width="14.125" style="31" customWidth="1"/>
    <col min="9532" max="9728" width="8.125" style="31"/>
    <col min="9729" max="9729" width="3" style="31" bestFit="1" customWidth="1"/>
    <col min="9730" max="9730" width="8.25" style="31" bestFit="1" customWidth="1"/>
    <col min="9731" max="9731" width="28.25" style="31" bestFit="1" customWidth="1"/>
    <col min="9732" max="9732" width="13.75" style="31" bestFit="1" customWidth="1"/>
    <col min="9733" max="9733" width="12.875" style="31" bestFit="1" customWidth="1"/>
    <col min="9734" max="9734" width="19.375" style="31" bestFit="1" customWidth="1"/>
    <col min="9735" max="9735" width="14.125" style="31" bestFit="1" customWidth="1"/>
    <col min="9736" max="9736" width="16.625" style="31" bestFit="1" customWidth="1"/>
    <col min="9737" max="9737" width="11.875" style="31" bestFit="1" customWidth="1"/>
    <col min="9738" max="9740" width="23.625" style="31" bestFit="1" customWidth="1"/>
    <col min="9741" max="9743" width="24.625" style="31" bestFit="1" customWidth="1"/>
    <col min="9744" max="9744" width="24" style="31" bestFit="1" customWidth="1"/>
    <col min="9745" max="9745" width="23.375" style="31" bestFit="1" customWidth="1"/>
    <col min="9746" max="9747" width="23.625" style="31" bestFit="1" customWidth="1"/>
    <col min="9748" max="9749" width="24.625" style="31" bestFit="1" customWidth="1"/>
    <col min="9750" max="9750" width="24" style="31" bestFit="1" customWidth="1"/>
    <col min="9751" max="9751" width="23.375" style="31" bestFit="1" customWidth="1"/>
    <col min="9752" max="9753" width="18" style="31" bestFit="1" customWidth="1"/>
    <col min="9754" max="9754" width="17" style="31" bestFit="1" customWidth="1"/>
    <col min="9755" max="9755" width="13.25" style="31" bestFit="1" customWidth="1"/>
    <col min="9756" max="9758" width="14.125" style="31" bestFit="1" customWidth="1"/>
    <col min="9759" max="9760" width="27.25" style="31" bestFit="1" customWidth="1"/>
    <col min="9761" max="9761" width="22.875" style="31" bestFit="1" customWidth="1"/>
    <col min="9762" max="9762" width="30.25" style="31" bestFit="1" customWidth="1"/>
    <col min="9763" max="9763" width="16.375" style="31" bestFit="1" customWidth="1"/>
    <col min="9764" max="9764" width="10.625" style="31" bestFit="1" customWidth="1"/>
    <col min="9765" max="9765" width="12.875" style="31" bestFit="1" customWidth="1"/>
    <col min="9766" max="9766" width="17.75" style="31" bestFit="1" customWidth="1"/>
    <col min="9767" max="9767" width="11.875" style="31" bestFit="1" customWidth="1"/>
    <col min="9768" max="9768" width="19.25" style="31" bestFit="1" customWidth="1"/>
    <col min="9769" max="9769" width="11.875" style="31" bestFit="1" customWidth="1"/>
    <col min="9770" max="9770" width="20.75" style="31" bestFit="1" customWidth="1"/>
    <col min="9771" max="9771" width="24.75" style="31" bestFit="1" customWidth="1"/>
    <col min="9772" max="9773" width="27.25" style="31" bestFit="1" customWidth="1"/>
    <col min="9774" max="9774" width="8.125" style="31"/>
    <col min="9775" max="9775" width="8" style="31" bestFit="1" customWidth="1"/>
    <col min="9776" max="9776" width="10" style="31" bestFit="1" customWidth="1"/>
    <col min="9777" max="9777" width="9" style="31" bestFit="1" customWidth="1"/>
    <col min="9778" max="9778" width="9.625" style="31" bestFit="1" customWidth="1"/>
    <col min="9779" max="9779" width="9" style="31" bestFit="1" customWidth="1"/>
    <col min="9780" max="9780" width="8.125" style="31"/>
    <col min="9781" max="9781" width="16.25" style="31" customWidth="1"/>
    <col min="9782" max="9785" width="14.125" style="31" customWidth="1"/>
    <col min="9786" max="9786" width="23.375" style="31" customWidth="1"/>
    <col min="9787" max="9787" width="14.125" style="31" customWidth="1"/>
    <col min="9788" max="9984" width="8.125" style="31"/>
    <col min="9985" max="9985" width="3" style="31" bestFit="1" customWidth="1"/>
    <col min="9986" max="9986" width="8.25" style="31" bestFit="1" customWidth="1"/>
    <col min="9987" max="9987" width="28.25" style="31" bestFit="1" customWidth="1"/>
    <col min="9988" max="9988" width="13.75" style="31" bestFit="1" customWidth="1"/>
    <col min="9989" max="9989" width="12.875" style="31" bestFit="1" customWidth="1"/>
    <col min="9990" max="9990" width="19.375" style="31" bestFit="1" customWidth="1"/>
    <col min="9991" max="9991" width="14.125" style="31" bestFit="1" customWidth="1"/>
    <col min="9992" max="9992" width="16.625" style="31" bestFit="1" customWidth="1"/>
    <col min="9993" max="9993" width="11.875" style="31" bestFit="1" customWidth="1"/>
    <col min="9994" max="9996" width="23.625" style="31" bestFit="1" customWidth="1"/>
    <col min="9997" max="9999" width="24.625" style="31" bestFit="1" customWidth="1"/>
    <col min="10000" max="10000" width="24" style="31" bestFit="1" customWidth="1"/>
    <col min="10001" max="10001" width="23.375" style="31" bestFit="1" customWidth="1"/>
    <col min="10002" max="10003" width="23.625" style="31" bestFit="1" customWidth="1"/>
    <col min="10004" max="10005" width="24.625" style="31" bestFit="1" customWidth="1"/>
    <col min="10006" max="10006" width="24" style="31" bestFit="1" customWidth="1"/>
    <col min="10007" max="10007" width="23.375" style="31" bestFit="1" customWidth="1"/>
    <col min="10008" max="10009" width="18" style="31" bestFit="1" customWidth="1"/>
    <col min="10010" max="10010" width="17" style="31" bestFit="1" customWidth="1"/>
    <col min="10011" max="10011" width="13.25" style="31" bestFit="1" customWidth="1"/>
    <col min="10012" max="10014" width="14.125" style="31" bestFit="1" customWidth="1"/>
    <col min="10015" max="10016" width="27.25" style="31" bestFit="1" customWidth="1"/>
    <col min="10017" max="10017" width="22.875" style="31" bestFit="1" customWidth="1"/>
    <col min="10018" max="10018" width="30.25" style="31" bestFit="1" customWidth="1"/>
    <col min="10019" max="10019" width="16.375" style="31" bestFit="1" customWidth="1"/>
    <col min="10020" max="10020" width="10.625" style="31" bestFit="1" customWidth="1"/>
    <col min="10021" max="10021" width="12.875" style="31" bestFit="1" customWidth="1"/>
    <col min="10022" max="10022" width="17.75" style="31" bestFit="1" customWidth="1"/>
    <col min="10023" max="10023" width="11.875" style="31" bestFit="1" customWidth="1"/>
    <col min="10024" max="10024" width="19.25" style="31" bestFit="1" customWidth="1"/>
    <col min="10025" max="10025" width="11.875" style="31" bestFit="1" customWidth="1"/>
    <col min="10026" max="10026" width="20.75" style="31" bestFit="1" customWidth="1"/>
    <col min="10027" max="10027" width="24.75" style="31" bestFit="1" customWidth="1"/>
    <col min="10028" max="10029" width="27.25" style="31" bestFit="1" customWidth="1"/>
    <col min="10030" max="10030" width="8.125" style="31"/>
    <col min="10031" max="10031" width="8" style="31" bestFit="1" customWidth="1"/>
    <col min="10032" max="10032" width="10" style="31" bestFit="1" customWidth="1"/>
    <col min="10033" max="10033" width="9" style="31" bestFit="1" customWidth="1"/>
    <col min="10034" max="10034" width="9.625" style="31" bestFit="1" customWidth="1"/>
    <col min="10035" max="10035" width="9" style="31" bestFit="1" customWidth="1"/>
    <col min="10036" max="10036" width="8.125" style="31"/>
    <col min="10037" max="10037" width="16.25" style="31" customWidth="1"/>
    <col min="10038" max="10041" width="14.125" style="31" customWidth="1"/>
    <col min="10042" max="10042" width="23.375" style="31" customWidth="1"/>
    <col min="10043" max="10043" width="14.125" style="31" customWidth="1"/>
    <col min="10044" max="10240" width="8.125" style="31"/>
    <col min="10241" max="10241" width="3" style="31" bestFit="1" customWidth="1"/>
    <col min="10242" max="10242" width="8.25" style="31" bestFit="1" customWidth="1"/>
    <col min="10243" max="10243" width="28.25" style="31" bestFit="1" customWidth="1"/>
    <col min="10244" max="10244" width="13.75" style="31" bestFit="1" customWidth="1"/>
    <col min="10245" max="10245" width="12.875" style="31" bestFit="1" customWidth="1"/>
    <col min="10246" max="10246" width="19.375" style="31" bestFit="1" customWidth="1"/>
    <col min="10247" max="10247" width="14.125" style="31" bestFit="1" customWidth="1"/>
    <col min="10248" max="10248" width="16.625" style="31" bestFit="1" customWidth="1"/>
    <col min="10249" max="10249" width="11.875" style="31" bestFit="1" customWidth="1"/>
    <col min="10250" max="10252" width="23.625" style="31" bestFit="1" customWidth="1"/>
    <col min="10253" max="10255" width="24.625" style="31" bestFit="1" customWidth="1"/>
    <col min="10256" max="10256" width="24" style="31" bestFit="1" customWidth="1"/>
    <col min="10257" max="10257" width="23.375" style="31" bestFit="1" customWidth="1"/>
    <col min="10258" max="10259" width="23.625" style="31" bestFit="1" customWidth="1"/>
    <col min="10260" max="10261" width="24.625" style="31" bestFit="1" customWidth="1"/>
    <col min="10262" max="10262" width="24" style="31" bestFit="1" customWidth="1"/>
    <col min="10263" max="10263" width="23.375" style="31" bestFit="1" customWidth="1"/>
    <col min="10264" max="10265" width="18" style="31" bestFit="1" customWidth="1"/>
    <col min="10266" max="10266" width="17" style="31" bestFit="1" customWidth="1"/>
    <col min="10267" max="10267" width="13.25" style="31" bestFit="1" customWidth="1"/>
    <col min="10268" max="10270" width="14.125" style="31" bestFit="1" customWidth="1"/>
    <col min="10271" max="10272" width="27.25" style="31" bestFit="1" customWidth="1"/>
    <col min="10273" max="10273" width="22.875" style="31" bestFit="1" customWidth="1"/>
    <col min="10274" max="10274" width="30.25" style="31" bestFit="1" customWidth="1"/>
    <col min="10275" max="10275" width="16.375" style="31" bestFit="1" customWidth="1"/>
    <col min="10276" max="10276" width="10.625" style="31" bestFit="1" customWidth="1"/>
    <col min="10277" max="10277" width="12.875" style="31" bestFit="1" customWidth="1"/>
    <col min="10278" max="10278" width="17.75" style="31" bestFit="1" customWidth="1"/>
    <col min="10279" max="10279" width="11.875" style="31" bestFit="1" customWidth="1"/>
    <col min="10280" max="10280" width="19.25" style="31" bestFit="1" customWidth="1"/>
    <col min="10281" max="10281" width="11.875" style="31" bestFit="1" customWidth="1"/>
    <col min="10282" max="10282" width="20.75" style="31" bestFit="1" customWidth="1"/>
    <col min="10283" max="10283" width="24.75" style="31" bestFit="1" customWidth="1"/>
    <col min="10284" max="10285" width="27.25" style="31" bestFit="1" customWidth="1"/>
    <col min="10286" max="10286" width="8.125" style="31"/>
    <col min="10287" max="10287" width="8" style="31" bestFit="1" customWidth="1"/>
    <col min="10288" max="10288" width="10" style="31" bestFit="1" customWidth="1"/>
    <col min="10289" max="10289" width="9" style="31" bestFit="1" customWidth="1"/>
    <col min="10290" max="10290" width="9.625" style="31" bestFit="1" customWidth="1"/>
    <col min="10291" max="10291" width="9" style="31" bestFit="1" customWidth="1"/>
    <col min="10292" max="10292" width="8.125" style="31"/>
    <col min="10293" max="10293" width="16.25" style="31" customWidth="1"/>
    <col min="10294" max="10297" width="14.125" style="31" customWidth="1"/>
    <col min="10298" max="10298" width="23.375" style="31" customWidth="1"/>
    <col min="10299" max="10299" width="14.125" style="31" customWidth="1"/>
    <col min="10300" max="10496" width="8.125" style="31"/>
    <col min="10497" max="10497" width="3" style="31" bestFit="1" customWidth="1"/>
    <col min="10498" max="10498" width="8.25" style="31" bestFit="1" customWidth="1"/>
    <col min="10499" max="10499" width="28.25" style="31" bestFit="1" customWidth="1"/>
    <col min="10500" max="10500" width="13.75" style="31" bestFit="1" customWidth="1"/>
    <col min="10501" max="10501" width="12.875" style="31" bestFit="1" customWidth="1"/>
    <col min="10502" max="10502" width="19.375" style="31" bestFit="1" customWidth="1"/>
    <col min="10503" max="10503" width="14.125" style="31" bestFit="1" customWidth="1"/>
    <col min="10504" max="10504" width="16.625" style="31" bestFit="1" customWidth="1"/>
    <col min="10505" max="10505" width="11.875" style="31" bestFit="1" customWidth="1"/>
    <col min="10506" max="10508" width="23.625" style="31" bestFit="1" customWidth="1"/>
    <col min="10509" max="10511" width="24.625" style="31" bestFit="1" customWidth="1"/>
    <col min="10512" max="10512" width="24" style="31" bestFit="1" customWidth="1"/>
    <col min="10513" max="10513" width="23.375" style="31" bestFit="1" customWidth="1"/>
    <col min="10514" max="10515" width="23.625" style="31" bestFit="1" customWidth="1"/>
    <col min="10516" max="10517" width="24.625" style="31" bestFit="1" customWidth="1"/>
    <col min="10518" max="10518" width="24" style="31" bestFit="1" customWidth="1"/>
    <col min="10519" max="10519" width="23.375" style="31" bestFit="1" customWidth="1"/>
    <col min="10520" max="10521" width="18" style="31" bestFit="1" customWidth="1"/>
    <col min="10522" max="10522" width="17" style="31" bestFit="1" customWidth="1"/>
    <col min="10523" max="10523" width="13.25" style="31" bestFit="1" customWidth="1"/>
    <col min="10524" max="10526" width="14.125" style="31" bestFit="1" customWidth="1"/>
    <col min="10527" max="10528" width="27.25" style="31" bestFit="1" customWidth="1"/>
    <col min="10529" max="10529" width="22.875" style="31" bestFit="1" customWidth="1"/>
    <col min="10530" max="10530" width="30.25" style="31" bestFit="1" customWidth="1"/>
    <col min="10531" max="10531" width="16.375" style="31" bestFit="1" customWidth="1"/>
    <col min="10532" max="10532" width="10.625" style="31" bestFit="1" customWidth="1"/>
    <col min="10533" max="10533" width="12.875" style="31" bestFit="1" customWidth="1"/>
    <col min="10534" max="10534" width="17.75" style="31" bestFit="1" customWidth="1"/>
    <col min="10535" max="10535" width="11.875" style="31" bestFit="1" customWidth="1"/>
    <col min="10536" max="10536" width="19.25" style="31" bestFit="1" customWidth="1"/>
    <col min="10537" max="10537" width="11.875" style="31" bestFit="1" customWidth="1"/>
    <col min="10538" max="10538" width="20.75" style="31" bestFit="1" customWidth="1"/>
    <col min="10539" max="10539" width="24.75" style="31" bestFit="1" customWidth="1"/>
    <col min="10540" max="10541" width="27.25" style="31" bestFit="1" customWidth="1"/>
    <col min="10542" max="10542" width="8.125" style="31"/>
    <col min="10543" max="10543" width="8" style="31" bestFit="1" customWidth="1"/>
    <col min="10544" max="10544" width="10" style="31" bestFit="1" customWidth="1"/>
    <col min="10545" max="10545" width="9" style="31" bestFit="1" customWidth="1"/>
    <col min="10546" max="10546" width="9.625" style="31" bestFit="1" customWidth="1"/>
    <col min="10547" max="10547" width="9" style="31" bestFit="1" customWidth="1"/>
    <col min="10548" max="10548" width="8.125" style="31"/>
    <col min="10549" max="10549" width="16.25" style="31" customWidth="1"/>
    <col min="10550" max="10553" width="14.125" style="31" customWidth="1"/>
    <col min="10554" max="10554" width="23.375" style="31" customWidth="1"/>
    <col min="10555" max="10555" width="14.125" style="31" customWidth="1"/>
    <col min="10556" max="10752" width="8.125" style="31"/>
    <col min="10753" max="10753" width="3" style="31" bestFit="1" customWidth="1"/>
    <col min="10754" max="10754" width="8.25" style="31" bestFit="1" customWidth="1"/>
    <col min="10755" max="10755" width="28.25" style="31" bestFit="1" customWidth="1"/>
    <col min="10756" max="10756" width="13.75" style="31" bestFit="1" customWidth="1"/>
    <col min="10757" max="10757" width="12.875" style="31" bestFit="1" customWidth="1"/>
    <col min="10758" max="10758" width="19.375" style="31" bestFit="1" customWidth="1"/>
    <col min="10759" max="10759" width="14.125" style="31" bestFit="1" customWidth="1"/>
    <col min="10760" max="10760" width="16.625" style="31" bestFit="1" customWidth="1"/>
    <col min="10761" max="10761" width="11.875" style="31" bestFit="1" customWidth="1"/>
    <col min="10762" max="10764" width="23.625" style="31" bestFit="1" customWidth="1"/>
    <col min="10765" max="10767" width="24.625" style="31" bestFit="1" customWidth="1"/>
    <col min="10768" max="10768" width="24" style="31" bestFit="1" customWidth="1"/>
    <col min="10769" max="10769" width="23.375" style="31" bestFit="1" customWidth="1"/>
    <col min="10770" max="10771" width="23.625" style="31" bestFit="1" customWidth="1"/>
    <col min="10772" max="10773" width="24.625" style="31" bestFit="1" customWidth="1"/>
    <col min="10774" max="10774" width="24" style="31" bestFit="1" customWidth="1"/>
    <col min="10775" max="10775" width="23.375" style="31" bestFit="1" customWidth="1"/>
    <col min="10776" max="10777" width="18" style="31" bestFit="1" customWidth="1"/>
    <col min="10778" max="10778" width="17" style="31" bestFit="1" customWidth="1"/>
    <col min="10779" max="10779" width="13.25" style="31" bestFit="1" customWidth="1"/>
    <col min="10780" max="10782" width="14.125" style="31" bestFit="1" customWidth="1"/>
    <col min="10783" max="10784" width="27.25" style="31" bestFit="1" customWidth="1"/>
    <col min="10785" max="10785" width="22.875" style="31" bestFit="1" customWidth="1"/>
    <col min="10786" max="10786" width="30.25" style="31" bestFit="1" customWidth="1"/>
    <col min="10787" max="10787" width="16.375" style="31" bestFit="1" customWidth="1"/>
    <col min="10788" max="10788" width="10.625" style="31" bestFit="1" customWidth="1"/>
    <col min="10789" max="10789" width="12.875" style="31" bestFit="1" customWidth="1"/>
    <col min="10790" max="10790" width="17.75" style="31" bestFit="1" customWidth="1"/>
    <col min="10791" max="10791" width="11.875" style="31" bestFit="1" customWidth="1"/>
    <col min="10792" max="10792" width="19.25" style="31" bestFit="1" customWidth="1"/>
    <col min="10793" max="10793" width="11.875" style="31" bestFit="1" customWidth="1"/>
    <col min="10794" max="10794" width="20.75" style="31" bestFit="1" customWidth="1"/>
    <col min="10795" max="10795" width="24.75" style="31" bestFit="1" customWidth="1"/>
    <col min="10796" max="10797" width="27.25" style="31" bestFit="1" customWidth="1"/>
    <col min="10798" max="10798" width="8.125" style="31"/>
    <col min="10799" max="10799" width="8" style="31" bestFit="1" customWidth="1"/>
    <col min="10800" max="10800" width="10" style="31" bestFit="1" customWidth="1"/>
    <col min="10801" max="10801" width="9" style="31" bestFit="1" customWidth="1"/>
    <col min="10802" max="10802" width="9.625" style="31" bestFit="1" customWidth="1"/>
    <col min="10803" max="10803" width="9" style="31" bestFit="1" customWidth="1"/>
    <col min="10804" max="10804" width="8.125" style="31"/>
    <col min="10805" max="10805" width="16.25" style="31" customWidth="1"/>
    <col min="10806" max="10809" width="14.125" style="31" customWidth="1"/>
    <col min="10810" max="10810" width="23.375" style="31" customWidth="1"/>
    <col min="10811" max="10811" width="14.125" style="31" customWidth="1"/>
    <col min="10812" max="11008" width="8.125" style="31"/>
    <col min="11009" max="11009" width="3" style="31" bestFit="1" customWidth="1"/>
    <col min="11010" max="11010" width="8.25" style="31" bestFit="1" customWidth="1"/>
    <col min="11011" max="11011" width="28.25" style="31" bestFit="1" customWidth="1"/>
    <col min="11012" max="11012" width="13.75" style="31" bestFit="1" customWidth="1"/>
    <col min="11013" max="11013" width="12.875" style="31" bestFit="1" customWidth="1"/>
    <col min="11014" max="11014" width="19.375" style="31" bestFit="1" customWidth="1"/>
    <col min="11015" max="11015" width="14.125" style="31" bestFit="1" customWidth="1"/>
    <col min="11016" max="11016" width="16.625" style="31" bestFit="1" customWidth="1"/>
    <col min="11017" max="11017" width="11.875" style="31" bestFit="1" customWidth="1"/>
    <col min="11018" max="11020" width="23.625" style="31" bestFit="1" customWidth="1"/>
    <col min="11021" max="11023" width="24.625" style="31" bestFit="1" customWidth="1"/>
    <col min="11024" max="11024" width="24" style="31" bestFit="1" customWidth="1"/>
    <col min="11025" max="11025" width="23.375" style="31" bestFit="1" customWidth="1"/>
    <col min="11026" max="11027" width="23.625" style="31" bestFit="1" customWidth="1"/>
    <col min="11028" max="11029" width="24.625" style="31" bestFit="1" customWidth="1"/>
    <col min="11030" max="11030" width="24" style="31" bestFit="1" customWidth="1"/>
    <col min="11031" max="11031" width="23.375" style="31" bestFit="1" customWidth="1"/>
    <col min="11032" max="11033" width="18" style="31" bestFit="1" customWidth="1"/>
    <col min="11034" max="11034" width="17" style="31" bestFit="1" customWidth="1"/>
    <col min="11035" max="11035" width="13.25" style="31" bestFit="1" customWidth="1"/>
    <col min="11036" max="11038" width="14.125" style="31" bestFit="1" customWidth="1"/>
    <col min="11039" max="11040" width="27.25" style="31" bestFit="1" customWidth="1"/>
    <col min="11041" max="11041" width="22.875" style="31" bestFit="1" customWidth="1"/>
    <col min="11042" max="11042" width="30.25" style="31" bestFit="1" customWidth="1"/>
    <col min="11043" max="11043" width="16.375" style="31" bestFit="1" customWidth="1"/>
    <col min="11044" max="11044" width="10.625" style="31" bestFit="1" customWidth="1"/>
    <col min="11045" max="11045" width="12.875" style="31" bestFit="1" customWidth="1"/>
    <col min="11046" max="11046" width="17.75" style="31" bestFit="1" customWidth="1"/>
    <col min="11047" max="11047" width="11.875" style="31" bestFit="1" customWidth="1"/>
    <col min="11048" max="11048" width="19.25" style="31" bestFit="1" customWidth="1"/>
    <col min="11049" max="11049" width="11.875" style="31" bestFit="1" customWidth="1"/>
    <col min="11050" max="11050" width="20.75" style="31" bestFit="1" customWidth="1"/>
    <col min="11051" max="11051" width="24.75" style="31" bestFit="1" customWidth="1"/>
    <col min="11052" max="11053" width="27.25" style="31" bestFit="1" customWidth="1"/>
    <col min="11054" max="11054" width="8.125" style="31"/>
    <col min="11055" max="11055" width="8" style="31" bestFit="1" customWidth="1"/>
    <col min="11056" max="11056" width="10" style="31" bestFit="1" customWidth="1"/>
    <col min="11057" max="11057" width="9" style="31" bestFit="1" customWidth="1"/>
    <col min="11058" max="11058" width="9.625" style="31" bestFit="1" customWidth="1"/>
    <col min="11059" max="11059" width="9" style="31" bestFit="1" customWidth="1"/>
    <col min="11060" max="11060" width="8.125" style="31"/>
    <col min="11061" max="11061" width="16.25" style="31" customWidth="1"/>
    <col min="11062" max="11065" width="14.125" style="31" customWidth="1"/>
    <col min="11066" max="11066" width="23.375" style="31" customWidth="1"/>
    <col min="11067" max="11067" width="14.125" style="31" customWidth="1"/>
    <col min="11068" max="11264" width="8.125" style="31"/>
    <col min="11265" max="11265" width="3" style="31" bestFit="1" customWidth="1"/>
    <col min="11266" max="11266" width="8.25" style="31" bestFit="1" customWidth="1"/>
    <col min="11267" max="11267" width="28.25" style="31" bestFit="1" customWidth="1"/>
    <col min="11268" max="11268" width="13.75" style="31" bestFit="1" customWidth="1"/>
    <col min="11269" max="11269" width="12.875" style="31" bestFit="1" customWidth="1"/>
    <col min="11270" max="11270" width="19.375" style="31" bestFit="1" customWidth="1"/>
    <col min="11271" max="11271" width="14.125" style="31" bestFit="1" customWidth="1"/>
    <col min="11272" max="11272" width="16.625" style="31" bestFit="1" customWidth="1"/>
    <col min="11273" max="11273" width="11.875" style="31" bestFit="1" customWidth="1"/>
    <col min="11274" max="11276" width="23.625" style="31" bestFit="1" customWidth="1"/>
    <col min="11277" max="11279" width="24.625" style="31" bestFit="1" customWidth="1"/>
    <col min="11280" max="11280" width="24" style="31" bestFit="1" customWidth="1"/>
    <col min="11281" max="11281" width="23.375" style="31" bestFit="1" customWidth="1"/>
    <col min="11282" max="11283" width="23.625" style="31" bestFit="1" customWidth="1"/>
    <col min="11284" max="11285" width="24.625" style="31" bestFit="1" customWidth="1"/>
    <col min="11286" max="11286" width="24" style="31" bestFit="1" customWidth="1"/>
    <col min="11287" max="11287" width="23.375" style="31" bestFit="1" customWidth="1"/>
    <col min="11288" max="11289" width="18" style="31" bestFit="1" customWidth="1"/>
    <col min="11290" max="11290" width="17" style="31" bestFit="1" customWidth="1"/>
    <col min="11291" max="11291" width="13.25" style="31" bestFit="1" customWidth="1"/>
    <col min="11292" max="11294" width="14.125" style="31" bestFit="1" customWidth="1"/>
    <col min="11295" max="11296" width="27.25" style="31" bestFit="1" customWidth="1"/>
    <col min="11297" max="11297" width="22.875" style="31" bestFit="1" customWidth="1"/>
    <col min="11298" max="11298" width="30.25" style="31" bestFit="1" customWidth="1"/>
    <col min="11299" max="11299" width="16.375" style="31" bestFit="1" customWidth="1"/>
    <col min="11300" max="11300" width="10.625" style="31" bestFit="1" customWidth="1"/>
    <col min="11301" max="11301" width="12.875" style="31" bestFit="1" customWidth="1"/>
    <col min="11302" max="11302" width="17.75" style="31" bestFit="1" customWidth="1"/>
    <col min="11303" max="11303" width="11.875" style="31" bestFit="1" customWidth="1"/>
    <col min="11304" max="11304" width="19.25" style="31" bestFit="1" customWidth="1"/>
    <col min="11305" max="11305" width="11.875" style="31" bestFit="1" customWidth="1"/>
    <col min="11306" max="11306" width="20.75" style="31" bestFit="1" customWidth="1"/>
    <col min="11307" max="11307" width="24.75" style="31" bestFit="1" customWidth="1"/>
    <col min="11308" max="11309" width="27.25" style="31" bestFit="1" customWidth="1"/>
    <col min="11310" max="11310" width="8.125" style="31"/>
    <col min="11311" max="11311" width="8" style="31" bestFit="1" customWidth="1"/>
    <col min="11312" max="11312" width="10" style="31" bestFit="1" customWidth="1"/>
    <col min="11313" max="11313" width="9" style="31" bestFit="1" customWidth="1"/>
    <col min="11314" max="11314" width="9.625" style="31" bestFit="1" customWidth="1"/>
    <col min="11315" max="11315" width="9" style="31" bestFit="1" customWidth="1"/>
    <col min="11316" max="11316" width="8.125" style="31"/>
    <col min="11317" max="11317" width="16.25" style="31" customWidth="1"/>
    <col min="11318" max="11321" width="14.125" style="31" customWidth="1"/>
    <col min="11322" max="11322" width="23.375" style="31" customWidth="1"/>
    <col min="11323" max="11323" width="14.125" style="31" customWidth="1"/>
    <col min="11324" max="11520" width="8.125" style="31"/>
    <col min="11521" max="11521" width="3" style="31" bestFit="1" customWidth="1"/>
    <col min="11522" max="11522" width="8.25" style="31" bestFit="1" customWidth="1"/>
    <col min="11523" max="11523" width="28.25" style="31" bestFit="1" customWidth="1"/>
    <col min="11524" max="11524" width="13.75" style="31" bestFit="1" customWidth="1"/>
    <col min="11525" max="11525" width="12.875" style="31" bestFit="1" customWidth="1"/>
    <col min="11526" max="11526" width="19.375" style="31" bestFit="1" customWidth="1"/>
    <col min="11527" max="11527" width="14.125" style="31" bestFit="1" customWidth="1"/>
    <col min="11528" max="11528" width="16.625" style="31" bestFit="1" customWidth="1"/>
    <col min="11529" max="11529" width="11.875" style="31" bestFit="1" customWidth="1"/>
    <col min="11530" max="11532" width="23.625" style="31" bestFit="1" customWidth="1"/>
    <col min="11533" max="11535" width="24.625" style="31" bestFit="1" customWidth="1"/>
    <col min="11536" max="11536" width="24" style="31" bestFit="1" customWidth="1"/>
    <col min="11537" max="11537" width="23.375" style="31" bestFit="1" customWidth="1"/>
    <col min="11538" max="11539" width="23.625" style="31" bestFit="1" customWidth="1"/>
    <col min="11540" max="11541" width="24.625" style="31" bestFit="1" customWidth="1"/>
    <col min="11542" max="11542" width="24" style="31" bestFit="1" customWidth="1"/>
    <col min="11543" max="11543" width="23.375" style="31" bestFit="1" customWidth="1"/>
    <col min="11544" max="11545" width="18" style="31" bestFit="1" customWidth="1"/>
    <col min="11546" max="11546" width="17" style="31" bestFit="1" customWidth="1"/>
    <col min="11547" max="11547" width="13.25" style="31" bestFit="1" customWidth="1"/>
    <col min="11548" max="11550" width="14.125" style="31" bestFit="1" customWidth="1"/>
    <col min="11551" max="11552" width="27.25" style="31" bestFit="1" customWidth="1"/>
    <col min="11553" max="11553" width="22.875" style="31" bestFit="1" customWidth="1"/>
    <col min="11554" max="11554" width="30.25" style="31" bestFit="1" customWidth="1"/>
    <col min="11555" max="11555" width="16.375" style="31" bestFit="1" customWidth="1"/>
    <col min="11556" max="11556" width="10.625" style="31" bestFit="1" customWidth="1"/>
    <col min="11557" max="11557" width="12.875" style="31" bestFit="1" customWidth="1"/>
    <col min="11558" max="11558" width="17.75" style="31" bestFit="1" customWidth="1"/>
    <col min="11559" max="11559" width="11.875" style="31" bestFit="1" customWidth="1"/>
    <col min="11560" max="11560" width="19.25" style="31" bestFit="1" customWidth="1"/>
    <col min="11561" max="11561" width="11.875" style="31" bestFit="1" customWidth="1"/>
    <col min="11562" max="11562" width="20.75" style="31" bestFit="1" customWidth="1"/>
    <col min="11563" max="11563" width="24.75" style="31" bestFit="1" customWidth="1"/>
    <col min="11564" max="11565" width="27.25" style="31" bestFit="1" customWidth="1"/>
    <col min="11566" max="11566" width="8.125" style="31"/>
    <col min="11567" max="11567" width="8" style="31" bestFit="1" customWidth="1"/>
    <col min="11568" max="11568" width="10" style="31" bestFit="1" customWidth="1"/>
    <col min="11569" max="11569" width="9" style="31" bestFit="1" customWidth="1"/>
    <col min="11570" max="11570" width="9.625" style="31" bestFit="1" customWidth="1"/>
    <col min="11571" max="11571" width="9" style="31" bestFit="1" customWidth="1"/>
    <col min="11572" max="11572" width="8.125" style="31"/>
    <col min="11573" max="11573" width="16.25" style="31" customWidth="1"/>
    <col min="11574" max="11577" width="14.125" style="31" customWidth="1"/>
    <col min="11578" max="11578" width="23.375" style="31" customWidth="1"/>
    <col min="11579" max="11579" width="14.125" style="31" customWidth="1"/>
    <col min="11580" max="11776" width="8.125" style="31"/>
    <col min="11777" max="11777" width="3" style="31" bestFit="1" customWidth="1"/>
    <col min="11778" max="11778" width="8.25" style="31" bestFit="1" customWidth="1"/>
    <col min="11779" max="11779" width="28.25" style="31" bestFit="1" customWidth="1"/>
    <col min="11780" max="11780" width="13.75" style="31" bestFit="1" customWidth="1"/>
    <col min="11781" max="11781" width="12.875" style="31" bestFit="1" customWidth="1"/>
    <col min="11782" max="11782" width="19.375" style="31" bestFit="1" customWidth="1"/>
    <col min="11783" max="11783" width="14.125" style="31" bestFit="1" customWidth="1"/>
    <col min="11784" max="11784" width="16.625" style="31" bestFit="1" customWidth="1"/>
    <col min="11785" max="11785" width="11.875" style="31" bestFit="1" customWidth="1"/>
    <col min="11786" max="11788" width="23.625" style="31" bestFit="1" customWidth="1"/>
    <col min="11789" max="11791" width="24.625" style="31" bestFit="1" customWidth="1"/>
    <col min="11792" max="11792" width="24" style="31" bestFit="1" customWidth="1"/>
    <col min="11793" max="11793" width="23.375" style="31" bestFit="1" customWidth="1"/>
    <col min="11794" max="11795" width="23.625" style="31" bestFit="1" customWidth="1"/>
    <col min="11796" max="11797" width="24.625" style="31" bestFit="1" customWidth="1"/>
    <col min="11798" max="11798" width="24" style="31" bestFit="1" customWidth="1"/>
    <col min="11799" max="11799" width="23.375" style="31" bestFit="1" customWidth="1"/>
    <col min="11800" max="11801" width="18" style="31" bestFit="1" customWidth="1"/>
    <col min="11802" max="11802" width="17" style="31" bestFit="1" customWidth="1"/>
    <col min="11803" max="11803" width="13.25" style="31" bestFit="1" customWidth="1"/>
    <col min="11804" max="11806" width="14.125" style="31" bestFit="1" customWidth="1"/>
    <col min="11807" max="11808" width="27.25" style="31" bestFit="1" customWidth="1"/>
    <col min="11809" max="11809" width="22.875" style="31" bestFit="1" customWidth="1"/>
    <col min="11810" max="11810" width="30.25" style="31" bestFit="1" customWidth="1"/>
    <col min="11811" max="11811" width="16.375" style="31" bestFit="1" customWidth="1"/>
    <col min="11812" max="11812" width="10.625" style="31" bestFit="1" customWidth="1"/>
    <col min="11813" max="11813" width="12.875" style="31" bestFit="1" customWidth="1"/>
    <col min="11814" max="11814" width="17.75" style="31" bestFit="1" customWidth="1"/>
    <col min="11815" max="11815" width="11.875" style="31" bestFit="1" customWidth="1"/>
    <col min="11816" max="11816" width="19.25" style="31" bestFit="1" customWidth="1"/>
    <col min="11817" max="11817" width="11.875" style="31" bestFit="1" customWidth="1"/>
    <col min="11818" max="11818" width="20.75" style="31" bestFit="1" customWidth="1"/>
    <col min="11819" max="11819" width="24.75" style="31" bestFit="1" customWidth="1"/>
    <col min="11820" max="11821" width="27.25" style="31" bestFit="1" customWidth="1"/>
    <col min="11822" max="11822" width="8.125" style="31"/>
    <col min="11823" max="11823" width="8" style="31" bestFit="1" customWidth="1"/>
    <col min="11824" max="11824" width="10" style="31" bestFit="1" customWidth="1"/>
    <col min="11825" max="11825" width="9" style="31" bestFit="1" customWidth="1"/>
    <col min="11826" max="11826" width="9.625" style="31" bestFit="1" customWidth="1"/>
    <col min="11827" max="11827" width="9" style="31" bestFit="1" customWidth="1"/>
    <col min="11828" max="11828" width="8.125" style="31"/>
    <col min="11829" max="11829" width="16.25" style="31" customWidth="1"/>
    <col min="11830" max="11833" width="14.125" style="31" customWidth="1"/>
    <col min="11834" max="11834" width="23.375" style="31" customWidth="1"/>
    <col min="11835" max="11835" width="14.125" style="31" customWidth="1"/>
    <col min="11836" max="12032" width="8.125" style="31"/>
    <col min="12033" max="12033" width="3" style="31" bestFit="1" customWidth="1"/>
    <col min="12034" max="12034" width="8.25" style="31" bestFit="1" customWidth="1"/>
    <col min="12035" max="12035" width="28.25" style="31" bestFit="1" customWidth="1"/>
    <col min="12036" max="12036" width="13.75" style="31" bestFit="1" customWidth="1"/>
    <col min="12037" max="12037" width="12.875" style="31" bestFit="1" customWidth="1"/>
    <col min="12038" max="12038" width="19.375" style="31" bestFit="1" customWidth="1"/>
    <col min="12039" max="12039" width="14.125" style="31" bestFit="1" customWidth="1"/>
    <col min="12040" max="12040" width="16.625" style="31" bestFit="1" customWidth="1"/>
    <col min="12041" max="12041" width="11.875" style="31" bestFit="1" customWidth="1"/>
    <col min="12042" max="12044" width="23.625" style="31" bestFit="1" customWidth="1"/>
    <col min="12045" max="12047" width="24.625" style="31" bestFit="1" customWidth="1"/>
    <col min="12048" max="12048" width="24" style="31" bestFit="1" customWidth="1"/>
    <col min="12049" max="12049" width="23.375" style="31" bestFit="1" customWidth="1"/>
    <col min="12050" max="12051" width="23.625" style="31" bestFit="1" customWidth="1"/>
    <col min="12052" max="12053" width="24.625" style="31" bestFit="1" customWidth="1"/>
    <col min="12054" max="12054" width="24" style="31" bestFit="1" customWidth="1"/>
    <col min="12055" max="12055" width="23.375" style="31" bestFit="1" customWidth="1"/>
    <col min="12056" max="12057" width="18" style="31" bestFit="1" customWidth="1"/>
    <col min="12058" max="12058" width="17" style="31" bestFit="1" customWidth="1"/>
    <col min="12059" max="12059" width="13.25" style="31" bestFit="1" customWidth="1"/>
    <col min="12060" max="12062" width="14.125" style="31" bestFit="1" customWidth="1"/>
    <col min="12063" max="12064" width="27.25" style="31" bestFit="1" customWidth="1"/>
    <col min="12065" max="12065" width="22.875" style="31" bestFit="1" customWidth="1"/>
    <col min="12066" max="12066" width="30.25" style="31" bestFit="1" customWidth="1"/>
    <col min="12067" max="12067" width="16.375" style="31" bestFit="1" customWidth="1"/>
    <col min="12068" max="12068" width="10.625" style="31" bestFit="1" customWidth="1"/>
    <col min="12069" max="12069" width="12.875" style="31" bestFit="1" customWidth="1"/>
    <col min="12070" max="12070" width="17.75" style="31" bestFit="1" customWidth="1"/>
    <col min="12071" max="12071" width="11.875" style="31" bestFit="1" customWidth="1"/>
    <col min="12072" max="12072" width="19.25" style="31" bestFit="1" customWidth="1"/>
    <col min="12073" max="12073" width="11.875" style="31" bestFit="1" customWidth="1"/>
    <col min="12074" max="12074" width="20.75" style="31" bestFit="1" customWidth="1"/>
    <col min="12075" max="12075" width="24.75" style="31" bestFit="1" customWidth="1"/>
    <col min="12076" max="12077" width="27.25" style="31" bestFit="1" customWidth="1"/>
    <col min="12078" max="12078" width="8.125" style="31"/>
    <col min="12079" max="12079" width="8" style="31" bestFit="1" customWidth="1"/>
    <col min="12080" max="12080" width="10" style="31" bestFit="1" customWidth="1"/>
    <col min="12081" max="12081" width="9" style="31" bestFit="1" customWidth="1"/>
    <col min="12082" max="12082" width="9.625" style="31" bestFit="1" customWidth="1"/>
    <col min="12083" max="12083" width="9" style="31" bestFit="1" customWidth="1"/>
    <col min="12084" max="12084" width="8.125" style="31"/>
    <col min="12085" max="12085" width="16.25" style="31" customWidth="1"/>
    <col min="12086" max="12089" width="14.125" style="31" customWidth="1"/>
    <col min="12090" max="12090" width="23.375" style="31" customWidth="1"/>
    <col min="12091" max="12091" width="14.125" style="31" customWidth="1"/>
    <col min="12092" max="12288" width="8.125" style="31"/>
    <col min="12289" max="12289" width="3" style="31" bestFit="1" customWidth="1"/>
    <col min="12290" max="12290" width="8.25" style="31" bestFit="1" customWidth="1"/>
    <col min="12291" max="12291" width="28.25" style="31" bestFit="1" customWidth="1"/>
    <col min="12292" max="12292" width="13.75" style="31" bestFit="1" customWidth="1"/>
    <col min="12293" max="12293" width="12.875" style="31" bestFit="1" customWidth="1"/>
    <col min="12294" max="12294" width="19.375" style="31" bestFit="1" customWidth="1"/>
    <col min="12295" max="12295" width="14.125" style="31" bestFit="1" customWidth="1"/>
    <col min="12296" max="12296" width="16.625" style="31" bestFit="1" customWidth="1"/>
    <col min="12297" max="12297" width="11.875" style="31" bestFit="1" customWidth="1"/>
    <col min="12298" max="12300" width="23.625" style="31" bestFit="1" customWidth="1"/>
    <col min="12301" max="12303" width="24.625" style="31" bestFit="1" customWidth="1"/>
    <col min="12304" max="12304" width="24" style="31" bestFit="1" customWidth="1"/>
    <col min="12305" max="12305" width="23.375" style="31" bestFit="1" customWidth="1"/>
    <col min="12306" max="12307" width="23.625" style="31" bestFit="1" customWidth="1"/>
    <col min="12308" max="12309" width="24.625" style="31" bestFit="1" customWidth="1"/>
    <col min="12310" max="12310" width="24" style="31" bestFit="1" customWidth="1"/>
    <col min="12311" max="12311" width="23.375" style="31" bestFit="1" customWidth="1"/>
    <col min="12312" max="12313" width="18" style="31" bestFit="1" customWidth="1"/>
    <col min="12314" max="12314" width="17" style="31" bestFit="1" customWidth="1"/>
    <col min="12315" max="12315" width="13.25" style="31" bestFit="1" customWidth="1"/>
    <col min="12316" max="12318" width="14.125" style="31" bestFit="1" customWidth="1"/>
    <col min="12319" max="12320" width="27.25" style="31" bestFit="1" customWidth="1"/>
    <col min="12321" max="12321" width="22.875" style="31" bestFit="1" customWidth="1"/>
    <col min="12322" max="12322" width="30.25" style="31" bestFit="1" customWidth="1"/>
    <col min="12323" max="12323" width="16.375" style="31" bestFit="1" customWidth="1"/>
    <col min="12324" max="12324" width="10.625" style="31" bestFit="1" customWidth="1"/>
    <col min="12325" max="12325" width="12.875" style="31" bestFit="1" customWidth="1"/>
    <col min="12326" max="12326" width="17.75" style="31" bestFit="1" customWidth="1"/>
    <col min="12327" max="12327" width="11.875" style="31" bestFit="1" customWidth="1"/>
    <col min="12328" max="12328" width="19.25" style="31" bestFit="1" customWidth="1"/>
    <col min="12329" max="12329" width="11.875" style="31" bestFit="1" customWidth="1"/>
    <col min="12330" max="12330" width="20.75" style="31" bestFit="1" customWidth="1"/>
    <col min="12331" max="12331" width="24.75" style="31" bestFit="1" customWidth="1"/>
    <col min="12332" max="12333" width="27.25" style="31" bestFit="1" customWidth="1"/>
    <col min="12334" max="12334" width="8.125" style="31"/>
    <col min="12335" max="12335" width="8" style="31" bestFit="1" customWidth="1"/>
    <col min="12336" max="12336" width="10" style="31" bestFit="1" customWidth="1"/>
    <col min="12337" max="12337" width="9" style="31" bestFit="1" customWidth="1"/>
    <col min="12338" max="12338" width="9.625" style="31" bestFit="1" customWidth="1"/>
    <col min="12339" max="12339" width="9" style="31" bestFit="1" customWidth="1"/>
    <col min="12340" max="12340" width="8.125" style="31"/>
    <col min="12341" max="12341" width="16.25" style="31" customWidth="1"/>
    <col min="12342" max="12345" width="14.125" style="31" customWidth="1"/>
    <col min="12346" max="12346" width="23.375" style="31" customWidth="1"/>
    <col min="12347" max="12347" width="14.125" style="31" customWidth="1"/>
    <col min="12348" max="12544" width="8.125" style="31"/>
    <col min="12545" max="12545" width="3" style="31" bestFit="1" customWidth="1"/>
    <col min="12546" max="12546" width="8.25" style="31" bestFit="1" customWidth="1"/>
    <col min="12547" max="12547" width="28.25" style="31" bestFit="1" customWidth="1"/>
    <col min="12548" max="12548" width="13.75" style="31" bestFit="1" customWidth="1"/>
    <col min="12549" max="12549" width="12.875" style="31" bestFit="1" customWidth="1"/>
    <col min="12550" max="12550" width="19.375" style="31" bestFit="1" customWidth="1"/>
    <col min="12551" max="12551" width="14.125" style="31" bestFit="1" customWidth="1"/>
    <col min="12552" max="12552" width="16.625" style="31" bestFit="1" customWidth="1"/>
    <col min="12553" max="12553" width="11.875" style="31" bestFit="1" customWidth="1"/>
    <col min="12554" max="12556" width="23.625" style="31" bestFit="1" customWidth="1"/>
    <col min="12557" max="12559" width="24.625" style="31" bestFit="1" customWidth="1"/>
    <col min="12560" max="12560" width="24" style="31" bestFit="1" customWidth="1"/>
    <col min="12561" max="12561" width="23.375" style="31" bestFit="1" customWidth="1"/>
    <col min="12562" max="12563" width="23.625" style="31" bestFit="1" customWidth="1"/>
    <col min="12564" max="12565" width="24.625" style="31" bestFit="1" customWidth="1"/>
    <col min="12566" max="12566" width="24" style="31" bestFit="1" customWidth="1"/>
    <col min="12567" max="12567" width="23.375" style="31" bestFit="1" customWidth="1"/>
    <col min="12568" max="12569" width="18" style="31" bestFit="1" customWidth="1"/>
    <col min="12570" max="12570" width="17" style="31" bestFit="1" customWidth="1"/>
    <col min="12571" max="12571" width="13.25" style="31" bestFit="1" customWidth="1"/>
    <col min="12572" max="12574" width="14.125" style="31" bestFit="1" customWidth="1"/>
    <col min="12575" max="12576" width="27.25" style="31" bestFit="1" customWidth="1"/>
    <col min="12577" max="12577" width="22.875" style="31" bestFit="1" customWidth="1"/>
    <col min="12578" max="12578" width="30.25" style="31" bestFit="1" customWidth="1"/>
    <col min="12579" max="12579" width="16.375" style="31" bestFit="1" customWidth="1"/>
    <col min="12580" max="12580" width="10.625" style="31" bestFit="1" customWidth="1"/>
    <col min="12581" max="12581" width="12.875" style="31" bestFit="1" customWidth="1"/>
    <col min="12582" max="12582" width="17.75" style="31" bestFit="1" customWidth="1"/>
    <col min="12583" max="12583" width="11.875" style="31" bestFit="1" customWidth="1"/>
    <col min="12584" max="12584" width="19.25" style="31" bestFit="1" customWidth="1"/>
    <col min="12585" max="12585" width="11.875" style="31" bestFit="1" customWidth="1"/>
    <col min="12586" max="12586" width="20.75" style="31" bestFit="1" customWidth="1"/>
    <col min="12587" max="12587" width="24.75" style="31" bestFit="1" customWidth="1"/>
    <col min="12588" max="12589" width="27.25" style="31" bestFit="1" customWidth="1"/>
    <col min="12590" max="12590" width="8.125" style="31"/>
    <col min="12591" max="12591" width="8" style="31" bestFit="1" customWidth="1"/>
    <col min="12592" max="12592" width="10" style="31" bestFit="1" customWidth="1"/>
    <col min="12593" max="12593" width="9" style="31" bestFit="1" customWidth="1"/>
    <col min="12594" max="12594" width="9.625" style="31" bestFit="1" customWidth="1"/>
    <col min="12595" max="12595" width="9" style="31" bestFit="1" customWidth="1"/>
    <col min="12596" max="12596" width="8.125" style="31"/>
    <col min="12597" max="12597" width="16.25" style="31" customWidth="1"/>
    <col min="12598" max="12601" width="14.125" style="31" customWidth="1"/>
    <col min="12602" max="12602" width="23.375" style="31" customWidth="1"/>
    <col min="12603" max="12603" width="14.125" style="31" customWidth="1"/>
    <col min="12604" max="12800" width="8.125" style="31"/>
    <col min="12801" max="12801" width="3" style="31" bestFit="1" customWidth="1"/>
    <col min="12802" max="12802" width="8.25" style="31" bestFit="1" customWidth="1"/>
    <col min="12803" max="12803" width="28.25" style="31" bestFit="1" customWidth="1"/>
    <col min="12804" max="12804" width="13.75" style="31" bestFit="1" customWidth="1"/>
    <col min="12805" max="12805" width="12.875" style="31" bestFit="1" customWidth="1"/>
    <col min="12806" max="12806" width="19.375" style="31" bestFit="1" customWidth="1"/>
    <col min="12807" max="12807" width="14.125" style="31" bestFit="1" customWidth="1"/>
    <col min="12808" max="12808" width="16.625" style="31" bestFit="1" customWidth="1"/>
    <col min="12809" max="12809" width="11.875" style="31" bestFit="1" customWidth="1"/>
    <col min="12810" max="12812" width="23.625" style="31" bestFit="1" customWidth="1"/>
    <col min="12813" max="12815" width="24.625" style="31" bestFit="1" customWidth="1"/>
    <col min="12816" max="12816" width="24" style="31" bestFit="1" customWidth="1"/>
    <col min="12817" max="12817" width="23.375" style="31" bestFit="1" customWidth="1"/>
    <col min="12818" max="12819" width="23.625" style="31" bestFit="1" customWidth="1"/>
    <col min="12820" max="12821" width="24.625" style="31" bestFit="1" customWidth="1"/>
    <col min="12822" max="12822" width="24" style="31" bestFit="1" customWidth="1"/>
    <col min="12823" max="12823" width="23.375" style="31" bestFit="1" customWidth="1"/>
    <col min="12824" max="12825" width="18" style="31" bestFit="1" customWidth="1"/>
    <col min="12826" max="12826" width="17" style="31" bestFit="1" customWidth="1"/>
    <col min="12827" max="12827" width="13.25" style="31" bestFit="1" customWidth="1"/>
    <col min="12828" max="12830" width="14.125" style="31" bestFit="1" customWidth="1"/>
    <col min="12831" max="12832" width="27.25" style="31" bestFit="1" customWidth="1"/>
    <col min="12833" max="12833" width="22.875" style="31" bestFit="1" customWidth="1"/>
    <col min="12834" max="12834" width="30.25" style="31" bestFit="1" customWidth="1"/>
    <col min="12835" max="12835" width="16.375" style="31" bestFit="1" customWidth="1"/>
    <col min="12836" max="12836" width="10.625" style="31" bestFit="1" customWidth="1"/>
    <col min="12837" max="12837" width="12.875" style="31" bestFit="1" customWidth="1"/>
    <col min="12838" max="12838" width="17.75" style="31" bestFit="1" customWidth="1"/>
    <col min="12839" max="12839" width="11.875" style="31" bestFit="1" customWidth="1"/>
    <col min="12840" max="12840" width="19.25" style="31" bestFit="1" customWidth="1"/>
    <col min="12841" max="12841" width="11.875" style="31" bestFit="1" customWidth="1"/>
    <col min="12842" max="12842" width="20.75" style="31" bestFit="1" customWidth="1"/>
    <col min="12843" max="12843" width="24.75" style="31" bestFit="1" customWidth="1"/>
    <col min="12844" max="12845" width="27.25" style="31" bestFit="1" customWidth="1"/>
    <col min="12846" max="12846" width="8.125" style="31"/>
    <col min="12847" max="12847" width="8" style="31" bestFit="1" customWidth="1"/>
    <col min="12848" max="12848" width="10" style="31" bestFit="1" customWidth="1"/>
    <col min="12849" max="12849" width="9" style="31" bestFit="1" customWidth="1"/>
    <col min="12850" max="12850" width="9.625" style="31" bestFit="1" customWidth="1"/>
    <col min="12851" max="12851" width="9" style="31" bestFit="1" customWidth="1"/>
    <col min="12852" max="12852" width="8.125" style="31"/>
    <col min="12853" max="12853" width="16.25" style="31" customWidth="1"/>
    <col min="12854" max="12857" width="14.125" style="31" customWidth="1"/>
    <col min="12858" max="12858" width="23.375" style="31" customWidth="1"/>
    <col min="12859" max="12859" width="14.125" style="31" customWidth="1"/>
    <col min="12860" max="13056" width="8.125" style="31"/>
    <col min="13057" max="13057" width="3" style="31" bestFit="1" customWidth="1"/>
    <col min="13058" max="13058" width="8.25" style="31" bestFit="1" customWidth="1"/>
    <col min="13059" max="13059" width="28.25" style="31" bestFit="1" customWidth="1"/>
    <col min="13060" max="13060" width="13.75" style="31" bestFit="1" customWidth="1"/>
    <col min="13061" max="13061" width="12.875" style="31" bestFit="1" customWidth="1"/>
    <col min="13062" max="13062" width="19.375" style="31" bestFit="1" customWidth="1"/>
    <col min="13063" max="13063" width="14.125" style="31" bestFit="1" customWidth="1"/>
    <col min="13064" max="13064" width="16.625" style="31" bestFit="1" customWidth="1"/>
    <col min="13065" max="13065" width="11.875" style="31" bestFit="1" customWidth="1"/>
    <col min="13066" max="13068" width="23.625" style="31" bestFit="1" customWidth="1"/>
    <col min="13069" max="13071" width="24.625" style="31" bestFit="1" customWidth="1"/>
    <col min="13072" max="13072" width="24" style="31" bestFit="1" customWidth="1"/>
    <col min="13073" max="13073" width="23.375" style="31" bestFit="1" customWidth="1"/>
    <col min="13074" max="13075" width="23.625" style="31" bestFit="1" customWidth="1"/>
    <col min="13076" max="13077" width="24.625" style="31" bestFit="1" customWidth="1"/>
    <col min="13078" max="13078" width="24" style="31" bestFit="1" customWidth="1"/>
    <col min="13079" max="13079" width="23.375" style="31" bestFit="1" customWidth="1"/>
    <col min="13080" max="13081" width="18" style="31" bestFit="1" customWidth="1"/>
    <col min="13082" max="13082" width="17" style="31" bestFit="1" customWidth="1"/>
    <col min="13083" max="13083" width="13.25" style="31" bestFit="1" customWidth="1"/>
    <col min="13084" max="13086" width="14.125" style="31" bestFit="1" customWidth="1"/>
    <col min="13087" max="13088" width="27.25" style="31" bestFit="1" customWidth="1"/>
    <col min="13089" max="13089" width="22.875" style="31" bestFit="1" customWidth="1"/>
    <col min="13090" max="13090" width="30.25" style="31" bestFit="1" customWidth="1"/>
    <col min="13091" max="13091" width="16.375" style="31" bestFit="1" customWidth="1"/>
    <col min="13092" max="13092" width="10.625" style="31" bestFit="1" customWidth="1"/>
    <col min="13093" max="13093" width="12.875" style="31" bestFit="1" customWidth="1"/>
    <col min="13094" max="13094" width="17.75" style="31" bestFit="1" customWidth="1"/>
    <col min="13095" max="13095" width="11.875" style="31" bestFit="1" customWidth="1"/>
    <col min="13096" max="13096" width="19.25" style="31" bestFit="1" customWidth="1"/>
    <col min="13097" max="13097" width="11.875" style="31" bestFit="1" customWidth="1"/>
    <col min="13098" max="13098" width="20.75" style="31" bestFit="1" customWidth="1"/>
    <col min="13099" max="13099" width="24.75" style="31" bestFit="1" customWidth="1"/>
    <col min="13100" max="13101" width="27.25" style="31" bestFit="1" customWidth="1"/>
    <col min="13102" max="13102" width="8.125" style="31"/>
    <col min="13103" max="13103" width="8" style="31" bestFit="1" customWidth="1"/>
    <col min="13104" max="13104" width="10" style="31" bestFit="1" customWidth="1"/>
    <col min="13105" max="13105" width="9" style="31" bestFit="1" customWidth="1"/>
    <col min="13106" max="13106" width="9.625" style="31" bestFit="1" customWidth="1"/>
    <col min="13107" max="13107" width="9" style="31" bestFit="1" customWidth="1"/>
    <col min="13108" max="13108" width="8.125" style="31"/>
    <col min="13109" max="13109" width="16.25" style="31" customWidth="1"/>
    <col min="13110" max="13113" width="14.125" style="31" customWidth="1"/>
    <col min="13114" max="13114" width="23.375" style="31" customWidth="1"/>
    <col min="13115" max="13115" width="14.125" style="31" customWidth="1"/>
    <col min="13116" max="13312" width="8.125" style="31"/>
    <col min="13313" max="13313" width="3" style="31" bestFit="1" customWidth="1"/>
    <col min="13314" max="13314" width="8.25" style="31" bestFit="1" customWidth="1"/>
    <col min="13315" max="13315" width="28.25" style="31" bestFit="1" customWidth="1"/>
    <col min="13316" max="13316" width="13.75" style="31" bestFit="1" customWidth="1"/>
    <col min="13317" max="13317" width="12.875" style="31" bestFit="1" customWidth="1"/>
    <col min="13318" max="13318" width="19.375" style="31" bestFit="1" customWidth="1"/>
    <col min="13319" max="13319" width="14.125" style="31" bestFit="1" customWidth="1"/>
    <col min="13320" max="13320" width="16.625" style="31" bestFit="1" customWidth="1"/>
    <col min="13321" max="13321" width="11.875" style="31" bestFit="1" customWidth="1"/>
    <col min="13322" max="13324" width="23.625" style="31" bestFit="1" customWidth="1"/>
    <col min="13325" max="13327" width="24.625" style="31" bestFit="1" customWidth="1"/>
    <col min="13328" max="13328" width="24" style="31" bestFit="1" customWidth="1"/>
    <col min="13329" max="13329" width="23.375" style="31" bestFit="1" customWidth="1"/>
    <col min="13330" max="13331" width="23.625" style="31" bestFit="1" customWidth="1"/>
    <col min="13332" max="13333" width="24.625" style="31" bestFit="1" customWidth="1"/>
    <col min="13334" max="13334" width="24" style="31" bestFit="1" customWidth="1"/>
    <col min="13335" max="13335" width="23.375" style="31" bestFit="1" customWidth="1"/>
    <col min="13336" max="13337" width="18" style="31" bestFit="1" customWidth="1"/>
    <col min="13338" max="13338" width="17" style="31" bestFit="1" customWidth="1"/>
    <col min="13339" max="13339" width="13.25" style="31" bestFit="1" customWidth="1"/>
    <col min="13340" max="13342" width="14.125" style="31" bestFit="1" customWidth="1"/>
    <col min="13343" max="13344" width="27.25" style="31" bestFit="1" customWidth="1"/>
    <col min="13345" max="13345" width="22.875" style="31" bestFit="1" customWidth="1"/>
    <col min="13346" max="13346" width="30.25" style="31" bestFit="1" customWidth="1"/>
    <col min="13347" max="13347" width="16.375" style="31" bestFit="1" customWidth="1"/>
    <col min="13348" max="13348" width="10.625" style="31" bestFit="1" customWidth="1"/>
    <col min="13349" max="13349" width="12.875" style="31" bestFit="1" customWidth="1"/>
    <col min="13350" max="13350" width="17.75" style="31" bestFit="1" customWidth="1"/>
    <col min="13351" max="13351" width="11.875" style="31" bestFit="1" customWidth="1"/>
    <col min="13352" max="13352" width="19.25" style="31" bestFit="1" customWidth="1"/>
    <col min="13353" max="13353" width="11.875" style="31" bestFit="1" customWidth="1"/>
    <col min="13354" max="13354" width="20.75" style="31" bestFit="1" customWidth="1"/>
    <col min="13355" max="13355" width="24.75" style="31" bestFit="1" customWidth="1"/>
    <col min="13356" max="13357" width="27.25" style="31" bestFit="1" customWidth="1"/>
    <col min="13358" max="13358" width="8.125" style="31"/>
    <col min="13359" max="13359" width="8" style="31" bestFit="1" customWidth="1"/>
    <col min="13360" max="13360" width="10" style="31" bestFit="1" customWidth="1"/>
    <col min="13361" max="13361" width="9" style="31" bestFit="1" customWidth="1"/>
    <col min="13362" max="13362" width="9.625" style="31" bestFit="1" customWidth="1"/>
    <col min="13363" max="13363" width="9" style="31" bestFit="1" customWidth="1"/>
    <col min="13364" max="13364" width="8.125" style="31"/>
    <col min="13365" max="13365" width="16.25" style="31" customWidth="1"/>
    <col min="13366" max="13369" width="14.125" style="31" customWidth="1"/>
    <col min="13370" max="13370" width="23.375" style="31" customWidth="1"/>
    <col min="13371" max="13371" width="14.125" style="31" customWidth="1"/>
    <col min="13372" max="13568" width="8.125" style="31"/>
    <col min="13569" max="13569" width="3" style="31" bestFit="1" customWidth="1"/>
    <col min="13570" max="13570" width="8.25" style="31" bestFit="1" customWidth="1"/>
    <col min="13571" max="13571" width="28.25" style="31" bestFit="1" customWidth="1"/>
    <col min="13572" max="13572" width="13.75" style="31" bestFit="1" customWidth="1"/>
    <col min="13573" max="13573" width="12.875" style="31" bestFit="1" customWidth="1"/>
    <col min="13574" max="13574" width="19.375" style="31" bestFit="1" customWidth="1"/>
    <col min="13575" max="13575" width="14.125" style="31" bestFit="1" customWidth="1"/>
    <col min="13576" max="13576" width="16.625" style="31" bestFit="1" customWidth="1"/>
    <col min="13577" max="13577" width="11.875" style="31" bestFit="1" customWidth="1"/>
    <col min="13578" max="13580" width="23.625" style="31" bestFit="1" customWidth="1"/>
    <col min="13581" max="13583" width="24.625" style="31" bestFit="1" customWidth="1"/>
    <col min="13584" max="13584" width="24" style="31" bestFit="1" customWidth="1"/>
    <col min="13585" max="13585" width="23.375" style="31" bestFit="1" customWidth="1"/>
    <col min="13586" max="13587" width="23.625" style="31" bestFit="1" customWidth="1"/>
    <col min="13588" max="13589" width="24.625" style="31" bestFit="1" customWidth="1"/>
    <col min="13590" max="13590" width="24" style="31" bestFit="1" customWidth="1"/>
    <col min="13591" max="13591" width="23.375" style="31" bestFit="1" customWidth="1"/>
    <col min="13592" max="13593" width="18" style="31" bestFit="1" customWidth="1"/>
    <col min="13594" max="13594" width="17" style="31" bestFit="1" customWidth="1"/>
    <col min="13595" max="13595" width="13.25" style="31" bestFit="1" customWidth="1"/>
    <col min="13596" max="13598" width="14.125" style="31" bestFit="1" customWidth="1"/>
    <col min="13599" max="13600" width="27.25" style="31" bestFit="1" customWidth="1"/>
    <col min="13601" max="13601" width="22.875" style="31" bestFit="1" customWidth="1"/>
    <col min="13602" max="13602" width="30.25" style="31" bestFit="1" customWidth="1"/>
    <col min="13603" max="13603" width="16.375" style="31" bestFit="1" customWidth="1"/>
    <col min="13604" max="13604" width="10.625" style="31" bestFit="1" customWidth="1"/>
    <col min="13605" max="13605" width="12.875" style="31" bestFit="1" customWidth="1"/>
    <col min="13606" max="13606" width="17.75" style="31" bestFit="1" customWidth="1"/>
    <col min="13607" max="13607" width="11.875" style="31" bestFit="1" customWidth="1"/>
    <col min="13608" max="13608" width="19.25" style="31" bestFit="1" customWidth="1"/>
    <col min="13609" max="13609" width="11.875" style="31" bestFit="1" customWidth="1"/>
    <col min="13610" max="13610" width="20.75" style="31" bestFit="1" customWidth="1"/>
    <col min="13611" max="13611" width="24.75" style="31" bestFit="1" customWidth="1"/>
    <col min="13612" max="13613" width="27.25" style="31" bestFit="1" customWidth="1"/>
    <col min="13614" max="13614" width="8.125" style="31"/>
    <col min="13615" max="13615" width="8" style="31" bestFit="1" customWidth="1"/>
    <col min="13616" max="13616" width="10" style="31" bestFit="1" customWidth="1"/>
    <col min="13617" max="13617" width="9" style="31" bestFit="1" customWidth="1"/>
    <col min="13618" max="13618" width="9.625" style="31" bestFit="1" customWidth="1"/>
    <col min="13619" max="13619" width="9" style="31" bestFit="1" customWidth="1"/>
    <col min="13620" max="13620" width="8.125" style="31"/>
    <col min="13621" max="13621" width="16.25" style="31" customWidth="1"/>
    <col min="13622" max="13625" width="14.125" style="31" customWidth="1"/>
    <col min="13626" max="13626" width="23.375" style="31" customWidth="1"/>
    <col min="13627" max="13627" width="14.125" style="31" customWidth="1"/>
    <col min="13628" max="13824" width="8.125" style="31"/>
    <col min="13825" max="13825" width="3" style="31" bestFit="1" customWidth="1"/>
    <col min="13826" max="13826" width="8.25" style="31" bestFit="1" customWidth="1"/>
    <col min="13827" max="13827" width="28.25" style="31" bestFit="1" customWidth="1"/>
    <col min="13828" max="13828" width="13.75" style="31" bestFit="1" customWidth="1"/>
    <col min="13829" max="13829" width="12.875" style="31" bestFit="1" customWidth="1"/>
    <col min="13830" max="13830" width="19.375" style="31" bestFit="1" customWidth="1"/>
    <col min="13831" max="13831" width="14.125" style="31" bestFit="1" customWidth="1"/>
    <col min="13832" max="13832" width="16.625" style="31" bestFit="1" customWidth="1"/>
    <col min="13833" max="13833" width="11.875" style="31" bestFit="1" customWidth="1"/>
    <col min="13834" max="13836" width="23.625" style="31" bestFit="1" customWidth="1"/>
    <col min="13837" max="13839" width="24.625" style="31" bestFit="1" customWidth="1"/>
    <col min="13840" max="13840" width="24" style="31" bestFit="1" customWidth="1"/>
    <col min="13841" max="13841" width="23.375" style="31" bestFit="1" customWidth="1"/>
    <col min="13842" max="13843" width="23.625" style="31" bestFit="1" customWidth="1"/>
    <col min="13844" max="13845" width="24.625" style="31" bestFit="1" customWidth="1"/>
    <col min="13846" max="13846" width="24" style="31" bestFit="1" customWidth="1"/>
    <col min="13847" max="13847" width="23.375" style="31" bestFit="1" customWidth="1"/>
    <col min="13848" max="13849" width="18" style="31" bestFit="1" customWidth="1"/>
    <col min="13850" max="13850" width="17" style="31" bestFit="1" customWidth="1"/>
    <col min="13851" max="13851" width="13.25" style="31" bestFit="1" customWidth="1"/>
    <col min="13852" max="13854" width="14.125" style="31" bestFit="1" customWidth="1"/>
    <col min="13855" max="13856" width="27.25" style="31" bestFit="1" customWidth="1"/>
    <col min="13857" max="13857" width="22.875" style="31" bestFit="1" customWidth="1"/>
    <col min="13858" max="13858" width="30.25" style="31" bestFit="1" customWidth="1"/>
    <col min="13859" max="13859" width="16.375" style="31" bestFit="1" customWidth="1"/>
    <col min="13860" max="13860" width="10.625" style="31" bestFit="1" customWidth="1"/>
    <col min="13861" max="13861" width="12.875" style="31" bestFit="1" customWidth="1"/>
    <col min="13862" max="13862" width="17.75" style="31" bestFit="1" customWidth="1"/>
    <col min="13863" max="13863" width="11.875" style="31" bestFit="1" customWidth="1"/>
    <col min="13864" max="13864" width="19.25" style="31" bestFit="1" customWidth="1"/>
    <col min="13865" max="13865" width="11.875" style="31" bestFit="1" customWidth="1"/>
    <col min="13866" max="13866" width="20.75" style="31" bestFit="1" customWidth="1"/>
    <col min="13867" max="13867" width="24.75" style="31" bestFit="1" customWidth="1"/>
    <col min="13868" max="13869" width="27.25" style="31" bestFit="1" customWidth="1"/>
    <col min="13870" max="13870" width="8.125" style="31"/>
    <col min="13871" max="13871" width="8" style="31" bestFit="1" customWidth="1"/>
    <col min="13872" max="13872" width="10" style="31" bestFit="1" customWidth="1"/>
    <col min="13873" max="13873" width="9" style="31" bestFit="1" customWidth="1"/>
    <col min="13874" max="13874" width="9.625" style="31" bestFit="1" customWidth="1"/>
    <col min="13875" max="13875" width="9" style="31" bestFit="1" customWidth="1"/>
    <col min="13876" max="13876" width="8.125" style="31"/>
    <col min="13877" max="13877" width="16.25" style="31" customWidth="1"/>
    <col min="13878" max="13881" width="14.125" style="31" customWidth="1"/>
    <col min="13882" max="13882" width="23.375" style="31" customWidth="1"/>
    <col min="13883" max="13883" width="14.125" style="31" customWidth="1"/>
    <col min="13884" max="14080" width="8.125" style="31"/>
    <col min="14081" max="14081" width="3" style="31" bestFit="1" customWidth="1"/>
    <col min="14082" max="14082" width="8.25" style="31" bestFit="1" customWidth="1"/>
    <col min="14083" max="14083" width="28.25" style="31" bestFit="1" customWidth="1"/>
    <col min="14084" max="14084" width="13.75" style="31" bestFit="1" customWidth="1"/>
    <col min="14085" max="14085" width="12.875" style="31" bestFit="1" customWidth="1"/>
    <col min="14086" max="14086" width="19.375" style="31" bestFit="1" customWidth="1"/>
    <col min="14087" max="14087" width="14.125" style="31" bestFit="1" customWidth="1"/>
    <col min="14088" max="14088" width="16.625" style="31" bestFit="1" customWidth="1"/>
    <col min="14089" max="14089" width="11.875" style="31" bestFit="1" customWidth="1"/>
    <col min="14090" max="14092" width="23.625" style="31" bestFit="1" customWidth="1"/>
    <col min="14093" max="14095" width="24.625" style="31" bestFit="1" customWidth="1"/>
    <col min="14096" max="14096" width="24" style="31" bestFit="1" customWidth="1"/>
    <col min="14097" max="14097" width="23.375" style="31" bestFit="1" customWidth="1"/>
    <col min="14098" max="14099" width="23.625" style="31" bestFit="1" customWidth="1"/>
    <col min="14100" max="14101" width="24.625" style="31" bestFit="1" customWidth="1"/>
    <col min="14102" max="14102" width="24" style="31" bestFit="1" customWidth="1"/>
    <col min="14103" max="14103" width="23.375" style="31" bestFit="1" customWidth="1"/>
    <col min="14104" max="14105" width="18" style="31" bestFit="1" customWidth="1"/>
    <col min="14106" max="14106" width="17" style="31" bestFit="1" customWidth="1"/>
    <col min="14107" max="14107" width="13.25" style="31" bestFit="1" customWidth="1"/>
    <col min="14108" max="14110" width="14.125" style="31" bestFit="1" customWidth="1"/>
    <col min="14111" max="14112" width="27.25" style="31" bestFit="1" customWidth="1"/>
    <col min="14113" max="14113" width="22.875" style="31" bestFit="1" customWidth="1"/>
    <col min="14114" max="14114" width="30.25" style="31" bestFit="1" customWidth="1"/>
    <col min="14115" max="14115" width="16.375" style="31" bestFit="1" customWidth="1"/>
    <col min="14116" max="14116" width="10.625" style="31" bestFit="1" customWidth="1"/>
    <col min="14117" max="14117" width="12.875" style="31" bestFit="1" customWidth="1"/>
    <col min="14118" max="14118" width="17.75" style="31" bestFit="1" customWidth="1"/>
    <col min="14119" max="14119" width="11.875" style="31" bestFit="1" customWidth="1"/>
    <col min="14120" max="14120" width="19.25" style="31" bestFit="1" customWidth="1"/>
    <col min="14121" max="14121" width="11.875" style="31" bestFit="1" customWidth="1"/>
    <col min="14122" max="14122" width="20.75" style="31" bestFit="1" customWidth="1"/>
    <col min="14123" max="14123" width="24.75" style="31" bestFit="1" customWidth="1"/>
    <col min="14124" max="14125" width="27.25" style="31" bestFit="1" customWidth="1"/>
    <col min="14126" max="14126" width="8.125" style="31"/>
    <col min="14127" max="14127" width="8" style="31" bestFit="1" customWidth="1"/>
    <col min="14128" max="14128" width="10" style="31" bestFit="1" customWidth="1"/>
    <col min="14129" max="14129" width="9" style="31" bestFit="1" customWidth="1"/>
    <col min="14130" max="14130" width="9.625" style="31" bestFit="1" customWidth="1"/>
    <col min="14131" max="14131" width="9" style="31" bestFit="1" customWidth="1"/>
    <col min="14132" max="14132" width="8.125" style="31"/>
    <col min="14133" max="14133" width="16.25" style="31" customWidth="1"/>
    <col min="14134" max="14137" width="14.125" style="31" customWidth="1"/>
    <col min="14138" max="14138" width="23.375" style="31" customWidth="1"/>
    <col min="14139" max="14139" width="14.125" style="31" customWidth="1"/>
    <col min="14140" max="14336" width="8.125" style="31"/>
    <col min="14337" max="14337" width="3" style="31" bestFit="1" customWidth="1"/>
    <col min="14338" max="14338" width="8.25" style="31" bestFit="1" customWidth="1"/>
    <col min="14339" max="14339" width="28.25" style="31" bestFit="1" customWidth="1"/>
    <col min="14340" max="14340" width="13.75" style="31" bestFit="1" customWidth="1"/>
    <col min="14341" max="14341" width="12.875" style="31" bestFit="1" customWidth="1"/>
    <col min="14342" max="14342" width="19.375" style="31" bestFit="1" customWidth="1"/>
    <col min="14343" max="14343" width="14.125" style="31" bestFit="1" customWidth="1"/>
    <col min="14344" max="14344" width="16.625" style="31" bestFit="1" customWidth="1"/>
    <col min="14345" max="14345" width="11.875" style="31" bestFit="1" customWidth="1"/>
    <col min="14346" max="14348" width="23.625" style="31" bestFit="1" customWidth="1"/>
    <col min="14349" max="14351" width="24.625" style="31" bestFit="1" customWidth="1"/>
    <col min="14352" max="14352" width="24" style="31" bestFit="1" customWidth="1"/>
    <col min="14353" max="14353" width="23.375" style="31" bestFit="1" customWidth="1"/>
    <col min="14354" max="14355" width="23.625" style="31" bestFit="1" customWidth="1"/>
    <col min="14356" max="14357" width="24.625" style="31" bestFit="1" customWidth="1"/>
    <col min="14358" max="14358" width="24" style="31" bestFit="1" customWidth="1"/>
    <col min="14359" max="14359" width="23.375" style="31" bestFit="1" customWidth="1"/>
    <col min="14360" max="14361" width="18" style="31" bestFit="1" customWidth="1"/>
    <col min="14362" max="14362" width="17" style="31" bestFit="1" customWidth="1"/>
    <col min="14363" max="14363" width="13.25" style="31" bestFit="1" customWidth="1"/>
    <col min="14364" max="14366" width="14.125" style="31" bestFit="1" customWidth="1"/>
    <col min="14367" max="14368" width="27.25" style="31" bestFit="1" customWidth="1"/>
    <col min="14369" max="14369" width="22.875" style="31" bestFit="1" customWidth="1"/>
    <col min="14370" max="14370" width="30.25" style="31" bestFit="1" customWidth="1"/>
    <col min="14371" max="14371" width="16.375" style="31" bestFit="1" customWidth="1"/>
    <col min="14372" max="14372" width="10.625" style="31" bestFit="1" customWidth="1"/>
    <col min="14373" max="14373" width="12.875" style="31" bestFit="1" customWidth="1"/>
    <col min="14374" max="14374" width="17.75" style="31" bestFit="1" customWidth="1"/>
    <col min="14375" max="14375" width="11.875" style="31" bestFit="1" customWidth="1"/>
    <col min="14376" max="14376" width="19.25" style="31" bestFit="1" customWidth="1"/>
    <col min="14377" max="14377" width="11.875" style="31" bestFit="1" customWidth="1"/>
    <col min="14378" max="14378" width="20.75" style="31" bestFit="1" customWidth="1"/>
    <col min="14379" max="14379" width="24.75" style="31" bestFit="1" customWidth="1"/>
    <col min="14380" max="14381" width="27.25" style="31" bestFit="1" customWidth="1"/>
    <col min="14382" max="14382" width="8.125" style="31"/>
    <col min="14383" max="14383" width="8" style="31" bestFit="1" customWidth="1"/>
    <col min="14384" max="14384" width="10" style="31" bestFit="1" customWidth="1"/>
    <col min="14385" max="14385" width="9" style="31" bestFit="1" customWidth="1"/>
    <col min="14386" max="14386" width="9.625" style="31" bestFit="1" customWidth="1"/>
    <col min="14387" max="14387" width="9" style="31" bestFit="1" customWidth="1"/>
    <col min="14388" max="14388" width="8.125" style="31"/>
    <col min="14389" max="14389" width="16.25" style="31" customWidth="1"/>
    <col min="14390" max="14393" width="14.125" style="31" customWidth="1"/>
    <col min="14394" max="14394" width="23.375" style="31" customWidth="1"/>
    <col min="14395" max="14395" width="14.125" style="31" customWidth="1"/>
    <col min="14396" max="14592" width="8.125" style="31"/>
    <col min="14593" max="14593" width="3" style="31" bestFit="1" customWidth="1"/>
    <col min="14594" max="14594" width="8.25" style="31" bestFit="1" customWidth="1"/>
    <col min="14595" max="14595" width="28.25" style="31" bestFit="1" customWidth="1"/>
    <col min="14596" max="14596" width="13.75" style="31" bestFit="1" customWidth="1"/>
    <col min="14597" max="14597" width="12.875" style="31" bestFit="1" customWidth="1"/>
    <col min="14598" max="14598" width="19.375" style="31" bestFit="1" customWidth="1"/>
    <col min="14599" max="14599" width="14.125" style="31" bestFit="1" customWidth="1"/>
    <col min="14600" max="14600" width="16.625" style="31" bestFit="1" customWidth="1"/>
    <col min="14601" max="14601" width="11.875" style="31" bestFit="1" customWidth="1"/>
    <col min="14602" max="14604" width="23.625" style="31" bestFit="1" customWidth="1"/>
    <col min="14605" max="14607" width="24.625" style="31" bestFit="1" customWidth="1"/>
    <col min="14608" max="14608" width="24" style="31" bestFit="1" customWidth="1"/>
    <col min="14609" max="14609" width="23.375" style="31" bestFit="1" customWidth="1"/>
    <col min="14610" max="14611" width="23.625" style="31" bestFit="1" customWidth="1"/>
    <col min="14612" max="14613" width="24.625" style="31" bestFit="1" customWidth="1"/>
    <col min="14614" max="14614" width="24" style="31" bestFit="1" customWidth="1"/>
    <col min="14615" max="14615" width="23.375" style="31" bestFit="1" customWidth="1"/>
    <col min="14616" max="14617" width="18" style="31" bestFit="1" customWidth="1"/>
    <col min="14618" max="14618" width="17" style="31" bestFit="1" customWidth="1"/>
    <col min="14619" max="14619" width="13.25" style="31" bestFit="1" customWidth="1"/>
    <col min="14620" max="14622" width="14.125" style="31" bestFit="1" customWidth="1"/>
    <col min="14623" max="14624" width="27.25" style="31" bestFit="1" customWidth="1"/>
    <col min="14625" max="14625" width="22.875" style="31" bestFit="1" customWidth="1"/>
    <col min="14626" max="14626" width="30.25" style="31" bestFit="1" customWidth="1"/>
    <col min="14627" max="14627" width="16.375" style="31" bestFit="1" customWidth="1"/>
    <col min="14628" max="14628" width="10.625" style="31" bestFit="1" customWidth="1"/>
    <col min="14629" max="14629" width="12.875" style="31" bestFit="1" customWidth="1"/>
    <col min="14630" max="14630" width="17.75" style="31" bestFit="1" customWidth="1"/>
    <col min="14631" max="14631" width="11.875" style="31" bestFit="1" customWidth="1"/>
    <col min="14632" max="14632" width="19.25" style="31" bestFit="1" customWidth="1"/>
    <col min="14633" max="14633" width="11.875" style="31" bestFit="1" customWidth="1"/>
    <col min="14634" max="14634" width="20.75" style="31" bestFit="1" customWidth="1"/>
    <col min="14635" max="14635" width="24.75" style="31" bestFit="1" customWidth="1"/>
    <col min="14636" max="14637" width="27.25" style="31" bestFit="1" customWidth="1"/>
    <col min="14638" max="14638" width="8.125" style="31"/>
    <col min="14639" max="14639" width="8" style="31" bestFit="1" customWidth="1"/>
    <col min="14640" max="14640" width="10" style="31" bestFit="1" customWidth="1"/>
    <col min="14641" max="14641" width="9" style="31" bestFit="1" customWidth="1"/>
    <col min="14642" max="14642" width="9.625" style="31" bestFit="1" customWidth="1"/>
    <col min="14643" max="14643" width="9" style="31" bestFit="1" customWidth="1"/>
    <col min="14644" max="14644" width="8.125" style="31"/>
    <col min="14645" max="14645" width="16.25" style="31" customWidth="1"/>
    <col min="14646" max="14649" width="14.125" style="31" customWidth="1"/>
    <col min="14650" max="14650" width="23.375" style="31" customWidth="1"/>
    <col min="14651" max="14651" width="14.125" style="31" customWidth="1"/>
    <col min="14652" max="14848" width="8.125" style="31"/>
    <col min="14849" max="14849" width="3" style="31" bestFit="1" customWidth="1"/>
    <col min="14850" max="14850" width="8.25" style="31" bestFit="1" customWidth="1"/>
    <col min="14851" max="14851" width="28.25" style="31" bestFit="1" customWidth="1"/>
    <col min="14852" max="14852" width="13.75" style="31" bestFit="1" customWidth="1"/>
    <col min="14853" max="14853" width="12.875" style="31" bestFit="1" customWidth="1"/>
    <col min="14854" max="14854" width="19.375" style="31" bestFit="1" customWidth="1"/>
    <col min="14855" max="14855" width="14.125" style="31" bestFit="1" customWidth="1"/>
    <col min="14856" max="14856" width="16.625" style="31" bestFit="1" customWidth="1"/>
    <col min="14857" max="14857" width="11.875" style="31" bestFit="1" customWidth="1"/>
    <col min="14858" max="14860" width="23.625" style="31" bestFit="1" customWidth="1"/>
    <col min="14861" max="14863" width="24.625" style="31" bestFit="1" customWidth="1"/>
    <col min="14864" max="14864" width="24" style="31" bestFit="1" customWidth="1"/>
    <col min="14865" max="14865" width="23.375" style="31" bestFit="1" customWidth="1"/>
    <col min="14866" max="14867" width="23.625" style="31" bestFit="1" customWidth="1"/>
    <col min="14868" max="14869" width="24.625" style="31" bestFit="1" customWidth="1"/>
    <col min="14870" max="14870" width="24" style="31" bestFit="1" customWidth="1"/>
    <col min="14871" max="14871" width="23.375" style="31" bestFit="1" customWidth="1"/>
    <col min="14872" max="14873" width="18" style="31" bestFit="1" customWidth="1"/>
    <col min="14874" max="14874" width="17" style="31" bestFit="1" customWidth="1"/>
    <col min="14875" max="14875" width="13.25" style="31" bestFit="1" customWidth="1"/>
    <col min="14876" max="14878" width="14.125" style="31" bestFit="1" customWidth="1"/>
    <col min="14879" max="14880" width="27.25" style="31" bestFit="1" customWidth="1"/>
    <col min="14881" max="14881" width="22.875" style="31" bestFit="1" customWidth="1"/>
    <col min="14882" max="14882" width="30.25" style="31" bestFit="1" customWidth="1"/>
    <col min="14883" max="14883" width="16.375" style="31" bestFit="1" customWidth="1"/>
    <col min="14884" max="14884" width="10.625" style="31" bestFit="1" customWidth="1"/>
    <col min="14885" max="14885" width="12.875" style="31" bestFit="1" customWidth="1"/>
    <col min="14886" max="14886" width="17.75" style="31" bestFit="1" customWidth="1"/>
    <col min="14887" max="14887" width="11.875" style="31" bestFit="1" customWidth="1"/>
    <col min="14888" max="14888" width="19.25" style="31" bestFit="1" customWidth="1"/>
    <col min="14889" max="14889" width="11.875" style="31" bestFit="1" customWidth="1"/>
    <col min="14890" max="14890" width="20.75" style="31" bestFit="1" customWidth="1"/>
    <col min="14891" max="14891" width="24.75" style="31" bestFit="1" customWidth="1"/>
    <col min="14892" max="14893" width="27.25" style="31" bestFit="1" customWidth="1"/>
    <col min="14894" max="14894" width="8.125" style="31"/>
    <col min="14895" max="14895" width="8" style="31" bestFit="1" customWidth="1"/>
    <col min="14896" max="14896" width="10" style="31" bestFit="1" customWidth="1"/>
    <col min="14897" max="14897" width="9" style="31" bestFit="1" customWidth="1"/>
    <col min="14898" max="14898" width="9.625" style="31" bestFit="1" customWidth="1"/>
    <col min="14899" max="14899" width="9" style="31" bestFit="1" customWidth="1"/>
    <col min="14900" max="14900" width="8.125" style="31"/>
    <col min="14901" max="14901" width="16.25" style="31" customWidth="1"/>
    <col min="14902" max="14905" width="14.125" style="31" customWidth="1"/>
    <col min="14906" max="14906" width="23.375" style="31" customWidth="1"/>
    <col min="14907" max="14907" width="14.125" style="31" customWidth="1"/>
    <col min="14908" max="15104" width="8.125" style="31"/>
    <col min="15105" max="15105" width="3" style="31" bestFit="1" customWidth="1"/>
    <col min="15106" max="15106" width="8.25" style="31" bestFit="1" customWidth="1"/>
    <col min="15107" max="15107" width="28.25" style="31" bestFit="1" customWidth="1"/>
    <col min="15108" max="15108" width="13.75" style="31" bestFit="1" customWidth="1"/>
    <col min="15109" max="15109" width="12.875" style="31" bestFit="1" customWidth="1"/>
    <col min="15110" max="15110" width="19.375" style="31" bestFit="1" customWidth="1"/>
    <col min="15111" max="15111" width="14.125" style="31" bestFit="1" customWidth="1"/>
    <col min="15112" max="15112" width="16.625" style="31" bestFit="1" customWidth="1"/>
    <col min="15113" max="15113" width="11.875" style="31" bestFit="1" customWidth="1"/>
    <col min="15114" max="15116" width="23.625" style="31" bestFit="1" customWidth="1"/>
    <col min="15117" max="15119" width="24.625" style="31" bestFit="1" customWidth="1"/>
    <col min="15120" max="15120" width="24" style="31" bestFit="1" customWidth="1"/>
    <col min="15121" max="15121" width="23.375" style="31" bestFit="1" customWidth="1"/>
    <col min="15122" max="15123" width="23.625" style="31" bestFit="1" customWidth="1"/>
    <col min="15124" max="15125" width="24.625" style="31" bestFit="1" customWidth="1"/>
    <col min="15126" max="15126" width="24" style="31" bestFit="1" customWidth="1"/>
    <col min="15127" max="15127" width="23.375" style="31" bestFit="1" customWidth="1"/>
    <col min="15128" max="15129" width="18" style="31" bestFit="1" customWidth="1"/>
    <col min="15130" max="15130" width="17" style="31" bestFit="1" customWidth="1"/>
    <col min="15131" max="15131" width="13.25" style="31" bestFit="1" customWidth="1"/>
    <col min="15132" max="15134" width="14.125" style="31" bestFit="1" customWidth="1"/>
    <col min="15135" max="15136" width="27.25" style="31" bestFit="1" customWidth="1"/>
    <col min="15137" max="15137" width="22.875" style="31" bestFit="1" customWidth="1"/>
    <col min="15138" max="15138" width="30.25" style="31" bestFit="1" customWidth="1"/>
    <col min="15139" max="15139" width="16.375" style="31" bestFit="1" customWidth="1"/>
    <col min="15140" max="15140" width="10.625" style="31" bestFit="1" customWidth="1"/>
    <col min="15141" max="15141" width="12.875" style="31" bestFit="1" customWidth="1"/>
    <col min="15142" max="15142" width="17.75" style="31" bestFit="1" customWidth="1"/>
    <col min="15143" max="15143" width="11.875" style="31" bestFit="1" customWidth="1"/>
    <col min="15144" max="15144" width="19.25" style="31" bestFit="1" customWidth="1"/>
    <col min="15145" max="15145" width="11.875" style="31" bestFit="1" customWidth="1"/>
    <col min="15146" max="15146" width="20.75" style="31" bestFit="1" customWidth="1"/>
    <col min="15147" max="15147" width="24.75" style="31" bestFit="1" customWidth="1"/>
    <col min="15148" max="15149" width="27.25" style="31" bestFit="1" customWidth="1"/>
    <col min="15150" max="15150" width="8.125" style="31"/>
    <col min="15151" max="15151" width="8" style="31" bestFit="1" customWidth="1"/>
    <col min="15152" max="15152" width="10" style="31" bestFit="1" customWidth="1"/>
    <col min="15153" max="15153" width="9" style="31" bestFit="1" customWidth="1"/>
    <col min="15154" max="15154" width="9.625" style="31" bestFit="1" customWidth="1"/>
    <col min="15155" max="15155" width="9" style="31" bestFit="1" customWidth="1"/>
    <col min="15156" max="15156" width="8.125" style="31"/>
    <col min="15157" max="15157" width="16.25" style="31" customWidth="1"/>
    <col min="15158" max="15161" width="14.125" style="31" customWidth="1"/>
    <col min="15162" max="15162" width="23.375" style="31" customWidth="1"/>
    <col min="15163" max="15163" width="14.125" style="31" customWidth="1"/>
    <col min="15164" max="15360" width="8.125" style="31"/>
    <col min="15361" max="15361" width="3" style="31" bestFit="1" customWidth="1"/>
    <col min="15362" max="15362" width="8.25" style="31" bestFit="1" customWidth="1"/>
    <col min="15363" max="15363" width="28.25" style="31" bestFit="1" customWidth="1"/>
    <col min="15364" max="15364" width="13.75" style="31" bestFit="1" customWidth="1"/>
    <col min="15365" max="15365" width="12.875" style="31" bestFit="1" customWidth="1"/>
    <col min="15366" max="15366" width="19.375" style="31" bestFit="1" customWidth="1"/>
    <col min="15367" max="15367" width="14.125" style="31" bestFit="1" customWidth="1"/>
    <col min="15368" max="15368" width="16.625" style="31" bestFit="1" customWidth="1"/>
    <col min="15369" max="15369" width="11.875" style="31" bestFit="1" customWidth="1"/>
    <col min="15370" max="15372" width="23.625" style="31" bestFit="1" customWidth="1"/>
    <col min="15373" max="15375" width="24.625" style="31" bestFit="1" customWidth="1"/>
    <col min="15376" max="15376" width="24" style="31" bestFit="1" customWidth="1"/>
    <col min="15377" max="15377" width="23.375" style="31" bestFit="1" customWidth="1"/>
    <col min="15378" max="15379" width="23.625" style="31" bestFit="1" customWidth="1"/>
    <col min="15380" max="15381" width="24.625" style="31" bestFit="1" customWidth="1"/>
    <col min="15382" max="15382" width="24" style="31" bestFit="1" customWidth="1"/>
    <col min="15383" max="15383" width="23.375" style="31" bestFit="1" customWidth="1"/>
    <col min="15384" max="15385" width="18" style="31" bestFit="1" customWidth="1"/>
    <col min="15386" max="15386" width="17" style="31" bestFit="1" customWidth="1"/>
    <col min="15387" max="15387" width="13.25" style="31" bestFit="1" customWidth="1"/>
    <col min="15388" max="15390" width="14.125" style="31" bestFit="1" customWidth="1"/>
    <col min="15391" max="15392" width="27.25" style="31" bestFit="1" customWidth="1"/>
    <col min="15393" max="15393" width="22.875" style="31" bestFit="1" customWidth="1"/>
    <col min="15394" max="15394" width="30.25" style="31" bestFit="1" customWidth="1"/>
    <col min="15395" max="15395" width="16.375" style="31" bestFit="1" customWidth="1"/>
    <col min="15396" max="15396" width="10.625" style="31" bestFit="1" customWidth="1"/>
    <col min="15397" max="15397" width="12.875" style="31" bestFit="1" customWidth="1"/>
    <col min="15398" max="15398" width="17.75" style="31" bestFit="1" customWidth="1"/>
    <col min="15399" max="15399" width="11.875" style="31" bestFit="1" customWidth="1"/>
    <col min="15400" max="15400" width="19.25" style="31" bestFit="1" customWidth="1"/>
    <col min="15401" max="15401" width="11.875" style="31" bestFit="1" customWidth="1"/>
    <col min="15402" max="15402" width="20.75" style="31" bestFit="1" customWidth="1"/>
    <col min="15403" max="15403" width="24.75" style="31" bestFit="1" customWidth="1"/>
    <col min="15404" max="15405" width="27.25" style="31" bestFit="1" customWidth="1"/>
    <col min="15406" max="15406" width="8.125" style="31"/>
    <col min="15407" max="15407" width="8" style="31" bestFit="1" customWidth="1"/>
    <col min="15408" max="15408" width="10" style="31" bestFit="1" customWidth="1"/>
    <col min="15409" max="15409" width="9" style="31" bestFit="1" customWidth="1"/>
    <col min="15410" max="15410" width="9.625" style="31" bestFit="1" customWidth="1"/>
    <col min="15411" max="15411" width="9" style="31" bestFit="1" customWidth="1"/>
    <col min="15412" max="15412" width="8.125" style="31"/>
    <col min="15413" max="15413" width="16.25" style="31" customWidth="1"/>
    <col min="15414" max="15417" width="14.125" style="31" customWidth="1"/>
    <col min="15418" max="15418" width="23.375" style="31" customWidth="1"/>
    <col min="15419" max="15419" width="14.125" style="31" customWidth="1"/>
    <col min="15420" max="15616" width="8.125" style="31"/>
    <col min="15617" max="15617" width="3" style="31" bestFit="1" customWidth="1"/>
    <col min="15618" max="15618" width="8.25" style="31" bestFit="1" customWidth="1"/>
    <col min="15619" max="15619" width="28.25" style="31" bestFit="1" customWidth="1"/>
    <col min="15620" max="15620" width="13.75" style="31" bestFit="1" customWidth="1"/>
    <col min="15621" max="15621" width="12.875" style="31" bestFit="1" customWidth="1"/>
    <col min="15622" max="15622" width="19.375" style="31" bestFit="1" customWidth="1"/>
    <col min="15623" max="15623" width="14.125" style="31" bestFit="1" customWidth="1"/>
    <col min="15624" max="15624" width="16.625" style="31" bestFit="1" customWidth="1"/>
    <col min="15625" max="15625" width="11.875" style="31" bestFit="1" customWidth="1"/>
    <col min="15626" max="15628" width="23.625" style="31" bestFit="1" customWidth="1"/>
    <col min="15629" max="15631" width="24.625" style="31" bestFit="1" customWidth="1"/>
    <col min="15632" max="15632" width="24" style="31" bestFit="1" customWidth="1"/>
    <col min="15633" max="15633" width="23.375" style="31" bestFit="1" customWidth="1"/>
    <col min="15634" max="15635" width="23.625" style="31" bestFit="1" customWidth="1"/>
    <col min="15636" max="15637" width="24.625" style="31" bestFit="1" customWidth="1"/>
    <col min="15638" max="15638" width="24" style="31" bestFit="1" customWidth="1"/>
    <col min="15639" max="15639" width="23.375" style="31" bestFit="1" customWidth="1"/>
    <col min="15640" max="15641" width="18" style="31" bestFit="1" customWidth="1"/>
    <col min="15642" max="15642" width="17" style="31" bestFit="1" customWidth="1"/>
    <col min="15643" max="15643" width="13.25" style="31" bestFit="1" customWidth="1"/>
    <col min="15644" max="15646" width="14.125" style="31" bestFit="1" customWidth="1"/>
    <col min="15647" max="15648" width="27.25" style="31" bestFit="1" customWidth="1"/>
    <col min="15649" max="15649" width="22.875" style="31" bestFit="1" customWidth="1"/>
    <col min="15650" max="15650" width="30.25" style="31" bestFit="1" customWidth="1"/>
    <col min="15651" max="15651" width="16.375" style="31" bestFit="1" customWidth="1"/>
    <col min="15652" max="15652" width="10.625" style="31" bestFit="1" customWidth="1"/>
    <col min="15653" max="15653" width="12.875" style="31" bestFit="1" customWidth="1"/>
    <col min="15654" max="15654" width="17.75" style="31" bestFit="1" customWidth="1"/>
    <col min="15655" max="15655" width="11.875" style="31" bestFit="1" customWidth="1"/>
    <col min="15656" max="15656" width="19.25" style="31" bestFit="1" customWidth="1"/>
    <col min="15657" max="15657" width="11.875" style="31" bestFit="1" customWidth="1"/>
    <col min="15658" max="15658" width="20.75" style="31" bestFit="1" customWidth="1"/>
    <col min="15659" max="15659" width="24.75" style="31" bestFit="1" customWidth="1"/>
    <col min="15660" max="15661" width="27.25" style="31" bestFit="1" customWidth="1"/>
    <col min="15662" max="15662" width="8.125" style="31"/>
    <col min="15663" max="15663" width="8" style="31" bestFit="1" customWidth="1"/>
    <col min="15664" max="15664" width="10" style="31" bestFit="1" customWidth="1"/>
    <col min="15665" max="15665" width="9" style="31" bestFit="1" customWidth="1"/>
    <col min="15666" max="15666" width="9.625" style="31" bestFit="1" customWidth="1"/>
    <col min="15667" max="15667" width="9" style="31" bestFit="1" customWidth="1"/>
    <col min="15668" max="15668" width="8.125" style="31"/>
    <col min="15669" max="15669" width="16.25" style="31" customWidth="1"/>
    <col min="15670" max="15673" width="14.125" style="31" customWidth="1"/>
    <col min="15674" max="15674" width="23.375" style="31" customWidth="1"/>
    <col min="15675" max="15675" width="14.125" style="31" customWidth="1"/>
    <col min="15676" max="15872" width="8.125" style="31"/>
    <col min="15873" max="15873" width="3" style="31" bestFit="1" customWidth="1"/>
    <col min="15874" max="15874" width="8.25" style="31" bestFit="1" customWidth="1"/>
    <col min="15875" max="15875" width="28.25" style="31" bestFit="1" customWidth="1"/>
    <col min="15876" max="15876" width="13.75" style="31" bestFit="1" customWidth="1"/>
    <col min="15877" max="15877" width="12.875" style="31" bestFit="1" customWidth="1"/>
    <col min="15878" max="15878" width="19.375" style="31" bestFit="1" customWidth="1"/>
    <col min="15879" max="15879" width="14.125" style="31" bestFit="1" customWidth="1"/>
    <col min="15880" max="15880" width="16.625" style="31" bestFit="1" customWidth="1"/>
    <col min="15881" max="15881" width="11.875" style="31" bestFit="1" customWidth="1"/>
    <col min="15882" max="15884" width="23.625" style="31" bestFit="1" customWidth="1"/>
    <col min="15885" max="15887" width="24.625" style="31" bestFit="1" customWidth="1"/>
    <col min="15888" max="15888" width="24" style="31" bestFit="1" customWidth="1"/>
    <col min="15889" max="15889" width="23.375" style="31" bestFit="1" customWidth="1"/>
    <col min="15890" max="15891" width="23.625" style="31" bestFit="1" customWidth="1"/>
    <col min="15892" max="15893" width="24.625" style="31" bestFit="1" customWidth="1"/>
    <col min="15894" max="15894" width="24" style="31" bestFit="1" customWidth="1"/>
    <col min="15895" max="15895" width="23.375" style="31" bestFit="1" customWidth="1"/>
    <col min="15896" max="15897" width="18" style="31" bestFit="1" customWidth="1"/>
    <col min="15898" max="15898" width="17" style="31" bestFit="1" customWidth="1"/>
    <col min="15899" max="15899" width="13.25" style="31" bestFit="1" customWidth="1"/>
    <col min="15900" max="15902" width="14.125" style="31" bestFit="1" customWidth="1"/>
    <col min="15903" max="15904" width="27.25" style="31" bestFit="1" customWidth="1"/>
    <col min="15905" max="15905" width="22.875" style="31" bestFit="1" customWidth="1"/>
    <col min="15906" max="15906" width="30.25" style="31" bestFit="1" customWidth="1"/>
    <col min="15907" max="15907" width="16.375" style="31" bestFit="1" customWidth="1"/>
    <col min="15908" max="15908" width="10.625" style="31" bestFit="1" customWidth="1"/>
    <col min="15909" max="15909" width="12.875" style="31" bestFit="1" customWidth="1"/>
    <col min="15910" max="15910" width="17.75" style="31" bestFit="1" customWidth="1"/>
    <col min="15911" max="15911" width="11.875" style="31" bestFit="1" customWidth="1"/>
    <col min="15912" max="15912" width="19.25" style="31" bestFit="1" customWidth="1"/>
    <col min="15913" max="15913" width="11.875" style="31" bestFit="1" customWidth="1"/>
    <col min="15914" max="15914" width="20.75" style="31" bestFit="1" customWidth="1"/>
    <col min="15915" max="15915" width="24.75" style="31" bestFit="1" customWidth="1"/>
    <col min="15916" max="15917" width="27.25" style="31" bestFit="1" customWidth="1"/>
    <col min="15918" max="15918" width="8.125" style="31"/>
    <col min="15919" max="15919" width="8" style="31" bestFit="1" customWidth="1"/>
    <col min="15920" max="15920" width="10" style="31" bestFit="1" customWidth="1"/>
    <col min="15921" max="15921" width="9" style="31" bestFit="1" customWidth="1"/>
    <col min="15922" max="15922" width="9.625" style="31" bestFit="1" customWidth="1"/>
    <col min="15923" max="15923" width="9" style="31" bestFit="1" customWidth="1"/>
    <col min="15924" max="15924" width="8.125" style="31"/>
    <col min="15925" max="15925" width="16.25" style="31" customWidth="1"/>
    <col min="15926" max="15929" width="14.125" style="31" customWidth="1"/>
    <col min="15930" max="15930" width="23.375" style="31" customWidth="1"/>
    <col min="15931" max="15931" width="14.125" style="31" customWidth="1"/>
    <col min="15932" max="16128" width="8.125" style="31"/>
    <col min="16129" max="16129" width="3" style="31" bestFit="1" customWidth="1"/>
    <col min="16130" max="16130" width="8.25" style="31" bestFit="1" customWidth="1"/>
    <col min="16131" max="16131" width="28.25" style="31" bestFit="1" customWidth="1"/>
    <col min="16132" max="16132" width="13.75" style="31" bestFit="1" customWidth="1"/>
    <col min="16133" max="16133" width="12.875" style="31" bestFit="1" customWidth="1"/>
    <col min="16134" max="16134" width="19.375" style="31" bestFit="1" customWidth="1"/>
    <col min="16135" max="16135" width="14.125" style="31" bestFit="1" customWidth="1"/>
    <col min="16136" max="16136" width="16.625" style="31" bestFit="1" customWidth="1"/>
    <col min="16137" max="16137" width="11.875" style="31" bestFit="1" customWidth="1"/>
    <col min="16138" max="16140" width="23.625" style="31" bestFit="1" customWidth="1"/>
    <col min="16141" max="16143" width="24.625" style="31" bestFit="1" customWidth="1"/>
    <col min="16144" max="16144" width="24" style="31" bestFit="1" customWidth="1"/>
    <col min="16145" max="16145" width="23.375" style="31" bestFit="1" customWidth="1"/>
    <col min="16146" max="16147" width="23.625" style="31" bestFit="1" customWidth="1"/>
    <col min="16148" max="16149" width="24.625" style="31" bestFit="1" customWidth="1"/>
    <col min="16150" max="16150" width="24" style="31" bestFit="1" customWidth="1"/>
    <col min="16151" max="16151" width="23.375" style="31" bestFit="1" customWidth="1"/>
    <col min="16152" max="16153" width="18" style="31" bestFit="1" customWidth="1"/>
    <col min="16154" max="16154" width="17" style="31" bestFit="1" customWidth="1"/>
    <col min="16155" max="16155" width="13.25" style="31" bestFit="1" customWidth="1"/>
    <col min="16156" max="16158" width="14.125" style="31" bestFit="1" customWidth="1"/>
    <col min="16159" max="16160" width="27.25" style="31" bestFit="1" customWidth="1"/>
    <col min="16161" max="16161" width="22.875" style="31" bestFit="1" customWidth="1"/>
    <col min="16162" max="16162" width="30.25" style="31" bestFit="1" customWidth="1"/>
    <col min="16163" max="16163" width="16.375" style="31" bestFit="1" customWidth="1"/>
    <col min="16164" max="16164" width="10.625" style="31" bestFit="1" customWidth="1"/>
    <col min="16165" max="16165" width="12.875" style="31" bestFit="1" customWidth="1"/>
    <col min="16166" max="16166" width="17.75" style="31" bestFit="1" customWidth="1"/>
    <col min="16167" max="16167" width="11.875" style="31" bestFit="1" customWidth="1"/>
    <col min="16168" max="16168" width="19.25" style="31" bestFit="1" customWidth="1"/>
    <col min="16169" max="16169" width="11.875" style="31" bestFit="1" customWidth="1"/>
    <col min="16170" max="16170" width="20.75" style="31" bestFit="1" customWidth="1"/>
    <col min="16171" max="16171" width="24.75" style="31" bestFit="1" customWidth="1"/>
    <col min="16172" max="16173" width="27.25" style="31" bestFit="1" customWidth="1"/>
    <col min="16174" max="16174" width="8.125" style="31"/>
    <col min="16175" max="16175" width="8" style="31" bestFit="1" customWidth="1"/>
    <col min="16176" max="16176" width="10" style="31" bestFit="1" customWidth="1"/>
    <col min="16177" max="16177" width="9" style="31" bestFit="1" customWidth="1"/>
    <col min="16178" max="16178" width="9.625" style="31" bestFit="1" customWidth="1"/>
    <col min="16179" max="16179" width="9" style="31" bestFit="1" customWidth="1"/>
    <col min="16180" max="16180" width="8.125" style="31"/>
    <col min="16181" max="16181" width="16.25" style="31" customWidth="1"/>
    <col min="16182" max="16185" width="14.125" style="31" customWidth="1"/>
    <col min="16186" max="16186" width="23.375" style="31" customWidth="1"/>
    <col min="16187" max="16187" width="14.125" style="31" customWidth="1"/>
    <col min="16188" max="16384" width="8.125" style="31"/>
  </cols>
  <sheetData>
    <row r="1" spans="1:59" ht="13.5">
      <c r="A1" s="31" t="s">
        <v>12</v>
      </c>
      <c r="B1" s="31" t="s">
        <v>24</v>
      </c>
      <c r="C1" s="31" t="s">
        <v>25</v>
      </c>
      <c r="D1" s="31" t="s">
        <v>26</v>
      </c>
      <c r="E1" s="31" t="s">
        <v>27</v>
      </c>
      <c r="F1" s="31" t="s">
        <v>28</v>
      </c>
      <c r="G1" s="31" t="s">
        <v>29</v>
      </c>
      <c r="H1" s="31" t="s">
        <v>30</v>
      </c>
      <c r="I1" s="31" t="s">
        <v>31</v>
      </c>
      <c r="J1" s="31" t="s">
        <v>32</v>
      </c>
      <c r="K1" s="31" t="s">
        <v>33</v>
      </c>
      <c r="L1" s="31" t="s">
        <v>34</v>
      </c>
      <c r="M1" s="31" t="s">
        <v>35</v>
      </c>
      <c r="N1" s="31" t="s">
        <v>36</v>
      </c>
      <c r="O1" s="31" t="s">
        <v>37</v>
      </c>
      <c r="P1" s="31" t="s">
        <v>38</v>
      </c>
      <c r="Q1" s="31" t="s">
        <v>39</v>
      </c>
      <c r="R1" s="31" t="s">
        <v>32</v>
      </c>
      <c r="S1" s="31" t="s">
        <v>33</v>
      </c>
      <c r="T1" s="31" t="s">
        <v>35</v>
      </c>
      <c r="U1" s="31" t="s">
        <v>36</v>
      </c>
      <c r="V1" s="31" t="s">
        <v>40</v>
      </c>
      <c r="W1" s="31" t="s">
        <v>39</v>
      </c>
      <c r="X1" s="31" t="s">
        <v>41</v>
      </c>
      <c r="Y1" s="31" t="s">
        <v>42</v>
      </c>
      <c r="Z1" s="31" t="s">
        <v>43</v>
      </c>
      <c r="AA1" s="31" t="s">
        <v>44</v>
      </c>
      <c r="AB1" s="31" t="s">
        <v>45</v>
      </c>
      <c r="AC1" s="31" t="s">
        <v>46</v>
      </c>
      <c r="AD1" s="31" t="s">
        <v>47</v>
      </c>
      <c r="AE1" s="31" t="s">
        <v>48</v>
      </c>
      <c r="AF1" s="31" t="s">
        <v>49</v>
      </c>
      <c r="AG1" s="31" t="s">
        <v>50</v>
      </c>
      <c r="AH1" s="31" t="s">
        <v>51</v>
      </c>
      <c r="AI1" s="31" t="s">
        <v>52</v>
      </c>
      <c r="AJ1" s="31" t="s">
        <v>53</v>
      </c>
      <c r="AK1" s="31" t="s">
        <v>54</v>
      </c>
      <c r="AL1" s="31" t="s">
        <v>55</v>
      </c>
      <c r="AM1" s="31" t="s">
        <v>56</v>
      </c>
      <c r="AN1" s="31" t="s">
        <v>57</v>
      </c>
      <c r="AO1" s="31" t="s">
        <v>58</v>
      </c>
      <c r="AP1" s="31" t="s">
        <v>59</v>
      </c>
      <c r="AQ1" s="31" t="s">
        <v>60</v>
      </c>
      <c r="AR1" s="31" t="s">
        <v>48</v>
      </c>
      <c r="AS1" s="31" t="s">
        <v>49</v>
      </c>
      <c r="AU1" s="32" t="s">
        <v>61</v>
      </c>
      <c r="AV1" s="32" t="s">
        <v>61</v>
      </c>
      <c r="AW1" s="32" t="s">
        <v>61</v>
      </c>
      <c r="AX1" s="32" t="s">
        <v>61</v>
      </c>
      <c r="AY1" s="32" t="s">
        <v>61</v>
      </c>
      <c r="BA1" s="33" t="s">
        <v>62</v>
      </c>
    </row>
    <row r="2" spans="1:59" ht="13.5">
      <c r="A2" s="31" t="s">
        <v>12</v>
      </c>
      <c r="B2" s="31" t="s">
        <v>24</v>
      </c>
      <c r="C2" s="31" t="s">
        <v>25</v>
      </c>
      <c r="D2" s="31" t="s">
        <v>63</v>
      </c>
      <c r="E2" s="31" t="s">
        <v>64</v>
      </c>
      <c r="F2" s="31" t="s">
        <v>64</v>
      </c>
      <c r="G2" s="31" t="s">
        <v>64</v>
      </c>
      <c r="H2" s="31" t="s">
        <v>64</v>
      </c>
      <c r="J2" s="31" t="s">
        <v>63</v>
      </c>
      <c r="K2" s="31" t="s">
        <v>63</v>
      </c>
      <c r="L2" s="31" t="s">
        <v>63</v>
      </c>
      <c r="M2" s="31" t="s">
        <v>63</v>
      </c>
      <c r="N2" s="31" t="s">
        <v>63</v>
      </c>
      <c r="O2" s="31" t="s">
        <v>63</v>
      </c>
      <c r="P2" s="31" t="s">
        <v>63</v>
      </c>
      <c r="Q2" s="31" t="s">
        <v>63</v>
      </c>
      <c r="R2" s="31" t="s">
        <v>65</v>
      </c>
      <c r="S2" s="31" t="s">
        <v>65</v>
      </c>
      <c r="T2" s="31" t="s">
        <v>65</v>
      </c>
      <c r="U2" s="31" t="s">
        <v>65</v>
      </c>
      <c r="V2" s="31" t="s">
        <v>65</v>
      </c>
      <c r="W2" s="31" t="s">
        <v>65</v>
      </c>
      <c r="X2" s="31" t="s">
        <v>65</v>
      </c>
      <c r="Y2" s="31" t="s">
        <v>65</v>
      </c>
      <c r="Z2" s="31" t="s">
        <v>65</v>
      </c>
      <c r="AE2" s="31" t="s">
        <v>66</v>
      </c>
      <c r="AF2" s="31" t="s">
        <v>66</v>
      </c>
      <c r="AG2" s="31" t="s">
        <v>67</v>
      </c>
      <c r="AJ2" s="31" t="s">
        <v>68</v>
      </c>
      <c r="AP2" s="31" t="s">
        <v>69</v>
      </c>
      <c r="AR2" s="31" t="s">
        <v>70</v>
      </c>
      <c r="AS2" s="31" t="s">
        <v>70</v>
      </c>
      <c r="AU2" s="32" t="s">
        <v>71</v>
      </c>
      <c r="AV2" s="32" t="s">
        <v>72</v>
      </c>
      <c r="AW2" s="32" t="s">
        <v>73</v>
      </c>
      <c r="AX2" s="32" t="s">
        <v>74</v>
      </c>
      <c r="AY2" s="32" t="s">
        <v>75</v>
      </c>
      <c r="BA2" s="34" t="s">
        <v>71</v>
      </c>
      <c r="BB2" s="34" t="s">
        <v>76</v>
      </c>
      <c r="BC2" s="34" t="s">
        <v>77</v>
      </c>
      <c r="BD2" s="34" t="s">
        <v>78</v>
      </c>
      <c r="BE2" s="34" t="s">
        <v>79</v>
      </c>
      <c r="BF2" s="35" t="s">
        <v>80</v>
      </c>
      <c r="BG2" s="34" t="s">
        <v>81</v>
      </c>
    </row>
    <row r="3" spans="1:59" ht="13.5">
      <c r="A3" s="31" t="s">
        <v>12</v>
      </c>
      <c r="B3" s="31" t="s">
        <v>24</v>
      </c>
      <c r="C3" s="31" t="s">
        <v>25</v>
      </c>
      <c r="D3" s="31" t="s">
        <v>82</v>
      </c>
      <c r="E3" s="31" t="s">
        <v>13</v>
      </c>
      <c r="F3" s="31" t="s">
        <v>15</v>
      </c>
      <c r="G3" s="31" t="s">
        <v>83</v>
      </c>
      <c r="H3" s="31" t="s">
        <v>84</v>
      </c>
      <c r="I3" s="31" t="s">
        <v>84</v>
      </c>
      <c r="J3" s="31" t="s">
        <v>84</v>
      </c>
      <c r="K3" s="31" t="s">
        <v>84</v>
      </c>
      <c r="L3" s="31" t="s">
        <v>84</v>
      </c>
      <c r="M3" s="31" t="s">
        <v>84</v>
      </c>
      <c r="N3" s="31" t="s">
        <v>84</v>
      </c>
      <c r="O3" s="31" t="s">
        <v>84</v>
      </c>
      <c r="P3" s="31" t="s">
        <v>85</v>
      </c>
      <c r="Q3" s="31" t="s">
        <v>85</v>
      </c>
      <c r="R3" s="31" t="s">
        <v>84</v>
      </c>
      <c r="S3" s="31" t="s">
        <v>84</v>
      </c>
      <c r="T3" s="31" t="s">
        <v>84</v>
      </c>
      <c r="U3" s="31" t="s">
        <v>84</v>
      </c>
      <c r="V3" s="31" t="s">
        <v>86</v>
      </c>
      <c r="W3" s="31" t="s">
        <v>86</v>
      </c>
      <c r="X3" s="31" t="s">
        <v>87</v>
      </c>
      <c r="Y3" s="31" t="s">
        <v>88</v>
      </c>
      <c r="Z3" s="31" t="s">
        <v>84</v>
      </c>
      <c r="AA3" s="31" t="s">
        <v>89</v>
      </c>
      <c r="AB3" s="31" t="s">
        <v>89</v>
      </c>
      <c r="AC3" s="31" t="s">
        <v>89</v>
      </c>
      <c r="AD3" s="31" t="s">
        <v>89</v>
      </c>
      <c r="AE3" s="31" t="s">
        <v>10</v>
      </c>
      <c r="AF3" s="31" t="s">
        <v>10</v>
      </c>
      <c r="AG3" s="31" t="s">
        <v>15</v>
      </c>
      <c r="AH3" s="31" t="s">
        <v>90</v>
      </c>
      <c r="AI3" s="31" t="s">
        <v>91</v>
      </c>
      <c r="AJ3" s="31" t="s">
        <v>91</v>
      </c>
      <c r="AK3" s="31" t="s">
        <v>15</v>
      </c>
      <c r="AL3" s="31" t="s">
        <v>84</v>
      </c>
      <c r="AM3" s="31" t="s">
        <v>84</v>
      </c>
      <c r="AN3" s="31" t="s">
        <v>84</v>
      </c>
      <c r="AO3" s="31" t="s">
        <v>84</v>
      </c>
      <c r="AP3" s="31" t="s">
        <v>92</v>
      </c>
      <c r="AQ3" s="31" t="s">
        <v>15</v>
      </c>
      <c r="AR3" s="31" t="s">
        <v>10</v>
      </c>
      <c r="AS3" s="31" t="s">
        <v>10</v>
      </c>
      <c r="AU3" s="32"/>
      <c r="AV3" s="32"/>
      <c r="AW3" s="32"/>
      <c r="AX3" s="32"/>
      <c r="AY3" s="32"/>
    </row>
    <row r="4" spans="1:59" ht="13.5">
      <c r="A4" s="31">
        <v>1</v>
      </c>
      <c r="B4" s="31" t="s">
        <v>93</v>
      </c>
      <c r="C4" s="31" t="s">
        <v>94</v>
      </c>
      <c r="D4" s="31">
        <v>28.013500000000001</v>
      </c>
      <c r="E4" s="31">
        <v>3399</v>
      </c>
      <c r="F4" s="31">
        <v>126.3</v>
      </c>
      <c r="G4" s="31">
        <v>9.0200000000000002E-2</v>
      </c>
      <c r="H4" s="31">
        <v>4.4999999999999998E-2</v>
      </c>
      <c r="I4" s="31">
        <v>9.5459999999999994</v>
      </c>
      <c r="J4" s="31">
        <v>0.99950000000000006</v>
      </c>
      <c r="K4" s="31">
        <v>0.99970000000000003</v>
      </c>
      <c r="L4" s="31">
        <v>0.99970000000000003</v>
      </c>
      <c r="M4" s="31">
        <v>2.24E-2</v>
      </c>
      <c r="N4" s="31">
        <v>1.7299999999999999E-2</v>
      </c>
      <c r="O4" s="31">
        <v>1.7299999999999999E-2</v>
      </c>
      <c r="P4" s="31">
        <v>0</v>
      </c>
      <c r="Q4" s="31">
        <v>0</v>
      </c>
      <c r="R4" s="31">
        <v>0.99950000000000006</v>
      </c>
      <c r="S4" s="31">
        <v>0.99970000000000003</v>
      </c>
      <c r="T4" s="31">
        <v>2.24E-2</v>
      </c>
      <c r="U4" s="31">
        <v>1.7299999999999999E-2</v>
      </c>
      <c r="V4" s="31">
        <v>0</v>
      </c>
      <c r="W4" s="31">
        <v>0</v>
      </c>
      <c r="X4" s="31">
        <v>1.2498</v>
      </c>
      <c r="Y4" s="31">
        <v>1.1848000000000001</v>
      </c>
      <c r="Z4" s="31">
        <v>0.96719999999999995</v>
      </c>
      <c r="AA4" s="31">
        <v>0</v>
      </c>
      <c r="AB4" s="31">
        <v>0</v>
      </c>
      <c r="AC4" s="31">
        <v>0</v>
      </c>
      <c r="AD4" s="31">
        <v>0</v>
      </c>
      <c r="AE4" s="31">
        <v>0</v>
      </c>
      <c r="AF4" s="31">
        <v>0</v>
      </c>
      <c r="AG4" s="31">
        <v>47.6</v>
      </c>
      <c r="AH4" s="31">
        <v>0.38500000000000001</v>
      </c>
      <c r="AI4" s="31">
        <v>0</v>
      </c>
      <c r="AJ4" s="31">
        <v>0</v>
      </c>
      <c r="AK4" s="31">
        <v>77.400009999999995</v>
      </c>
      <c r="AL4" s="31">
        <v>0</v>
      </c>
      <c r="AM4" s="31">
        <v>0</v>
      </c>
      <c r="AN4" s="31">
        <v>112.00001</v>
      </c>
      <c r="AO4" s="31">
        <v>0</v>
      </c>
      <c r="AP4" s="31">
        <v>16.63</v>
      </c>
      <c r="AQ4" s="31">
        <v>0</v>
      </c>
      <c r="AR4" s="31">
        <v>0</v>
      </c>
      <c r="AS4" s="31">
        <v>0</v>
      </c>
      <c r="AU4" s="32">
        <v>29.931999999999999</v>
      </c>
      <c r="AV4" s="32">
        <v>-7.5129999999999999</v>
      </c>
      <c r="AW4" s="32">
        <v>18.116</v>
      </c>
      <c r="AX4" s="32">
        <v>-0.88109999999999999</v>
      </c>
      <c r="AY4" s="32">
        <v>0.97840000000000005</v>
      </c>
      <c r="BA4" s="34">
        <v>-2.172507</v>
      </c>
      <c r="BB4" s="34">
        <v>1.0684899999999999</v>
      </c>
      <c r="BC4" s="34">
        <v>-1.34096E-4</v>
      </c>
      <c r="BD4" s="34">
        <v>2.1556899999999999E-7</v>
      </c>
      <c r="BE4" s="34">
        <v>-7.8631999999999995E-11</v>
      </c>
      <c r="BF4" s="35">
        <v>6.9849999999999997E-15</v>
      </c>
      <c r="BG4" s="34">
        <v>1.805409</v>
      </c>
    </row>
    <row r="5" spans="1:59" ht="13.5">
      <c r="A5" s="31">
        <v>2</v>
      </c>
      <c r="B5" s="31" t="s">
        <v>95</v>
      </c>
      <c r="C5" s="31" t="s">
        <v>96</v>
      </c>
      <c r="D5" s="31">
        <v>44.01</v>
      </c>
      <c r="E5" s="31">
        <v>7381.53</v>
      </c>
      <c r="F5" s="31">
        <v>304.3</v>
      </c>
      <c r="G5" s="31">
        <v>9.4200000000000006E-2</v>
      </c>
      <c r="H5" s="31">
        <v>0.23100000000000001</v>
      </c>
      <c r="I5" s="31">
        <v>14.647</v>
      </c>
      <c r="J5" s="31">
        <v>0.99329999999999996</v>
      </c>
      <c r="K5" s="31">
        <v>0.99439999999999995</v>
      </c>
      <c r="L5" s="31">
        <v>0.99470000000000003</v>
      </c>
      <c r="M5" s="31">
        <v>8.1900000000000001E-2</v>
      </c>
      <c r="N5" s="31">
        <v>7.4800000000000005E-2</v>
      </c>
      <c r="O5" s="31">
        <v>7.2800000000000004E-2</v>
      </c>
      <c r="P5" s="31">
        <v>0</v>
      </c>
      <c r="Q5" s="31">
        <v>0</v>
      </c>
      <c r="R5" s="31">
        <v>0.99319999999999997</v>
      </c>
      <c r="S5" s="31">
        <v>0.99429999999999996</v>
      </c>
      <c r="T5" s="31">
        <v>6.7000000000000004E-2</v>
      </c>
      <c r="U5" s="31">
        <v>6.1400000000000003E-2</v>
      </c>
      <c r="V5" s="31">
        <v>0</v>
      </c>
      <c r="W5" s="31">
        <v>0</v>
      </c>
      <c r="X5" s="31">
        <v>1.9635</v>
      </c>
      <c r="Y5" s="31">
        <v>1.8613</v>
      </c>
      <c r="Z5" s="31">
        <v>1.5195000000000001</v>
      </c>
      <c r="AA5" s="31">
        <v>0</v>
      </c>
      <c r="AB5" s="31">
        <v>0</v>
      </c>
      <c r="AC5" s="31">
        <v>0</v>
      </c>
      <c r="AD5" s="31">
        <v>0</v>
      </c>
      <c r="AE5" s="31">
        <v>0</v>
      </c>
      <c r="AF5" s="31">
        <v>0</v>
      </c>
      <c r="AG5" s="31">
        <v>190</v>
      </c>
      <c r="AH5" s="31">
        <v>0.4</v>
      </c>
      <c r="AI5" s="31">
        <v>-393.51299</v>
      </c>
      <c r="AJ5" s="31">
        <v>-394.38276999999999</v>
      </c>
      <c r="AK5" s="31">
        <v>194.64999</v>
      </c>
      <c r="AL5" s="31">
        <v>0</v>
      </c>
      <c r="AM5" s="31">
        <v>0</v>
      </c>
      <c r="AN5" s="31">
        <v>266</v>
      </c>
      <c r="AO5" s="31">
        <v>0</v>
      </c>
      <c r="AP5" s="31">
        <v>13.8</v>
      </c>
      <c r="AQ5" s="31">
        <v>0</v>
      </c>
      <c r="AR5" s="31">
        <v>0</v>
      </c>
      <c r="AS5" s="31">
        <v>0</v>
      </c>
      <c r="AU5" s="32">
        <v>21.085000000000001</v>
      </c>
      <c r="AV5" s="32">
        <v>67.084999999999994</v>
      </c>
      <c r="AW5" s="32">
        <v>-47.451000000000001</v>
      </c>
      <c r="AX5" s="32">
        <v>1.4918</v>
      </c>
      <c r="AY5" s="32">
        <v>-1.2707999999999999</v>
      </c>
      <c r="BA5" s="34">
        <v>11.113744000000001</v>
      </c>
      <c r="BB5" s="34">
        <v>0.47910700000000001</v>
      </c>
      <c r="BC5" s="34">
        <v>7.6215899999999999E-4</v>
      </c>
      <c r="BD5" s="34">
        <v>-3.5939199999999999E-7</v>
      </c>
      <c r="BE5" s="34">
        <v>8.4744000000000005E-11</v>
      </c>
      <c r="BF5" s="35">
        <v>-5.7751999999999997E-15</v>
      </c>
      <c r="BG5" s="34">
        <v>2.7191800000000002</v>
      </c>
    </row>
    <row r="6" spans="1:59" ht="13.5">
      <c r="A6" s="31">
        <v>3</v>
      </c>
      <c r="B6" s="31" t="s">
        <v>97</v>
      </c>
      <c r="C6" s="31" t="s">
        <v>98</v>
      </c>
      <c r="D6" s="31">
        <v>2.0158999999999998</v>
      </c>
      <c r="E6" s="31">
        <v>1298</v>
      </c>
      <c r="F6" s="31">
        <v>34.299999999999997</v>
      </c>
      <c r="G6" s="31">
        <v>6.5000000000000002E-2</v>
      </c>
      <c r="H6" s="31">
        <v>0</v>
      </c>
      <c r="I6" s="31">
        <v>4.4509999999999996</v>
      </c>
      <c r="J6" s="31">
        <v>1.0005999999999999</v>
      </c>
      <c r="K6" s="31">
        <v>1.0005999999999999</v>
      </c>
      <c r="L6" s="31">
        <v>1.0005999999999999</v>
      </c>
      <c r="M6" s="31">
        <v>-4.0000000000000001E-3</v>
      </c>
      <c r="N6" s="31">
        <v>-4.7999999999999996E-3</v>
      </c>
      <c r="O6" s="31">
        <v>-5.1000000000000004E-3</v>
      </c>
      <c r="P6" s="31">
        <v>285.83</v>
      </c>
      <c r="Q6" s="31">
        <v>241.81</v>
      </c>
      <c r="R6" s="31">
        <v>1.0005999999999999</v>
      </c>
      <c r="S6" s="31">
        <v>1.0005999999999999</v>
      </c>
      <c r="T6" s="31">
        <v>0</v>
      </c>
      <c r="U6" s="31">
        <v>0</v>
      </c>
      <c r="V6" s="31">
        <v>12.753</v>
      </c>
      <c r="W6" s="31">
        <v>10.789</v>
      </c>
      <c r="X6" s="31">
        <v>8.9899999999999994E-2</v>
      </c>
      <c r="Y6" s="31">
        <v>8.5199999999999998E-2</v>
      </c>
      <c r="Z6" s="31">
        <v>6.9599999999999995E-2</v>
      </c>
      <c r="AA6" s="31">
        <v>0.5</v>
      </c>
      <c r="AB6" s="31">
        <v>0</v>
      </c>
      <c r="AC6" s="31">
        <v>1</v>
      </c>
      <c r="AD6" s="31">
        <v>0</v>
      </c>
      <c r="AE6" s="31">
        <v>4</v>
      </c>
      <c r="AF6" s="31">
        <v>75</v>
      </c>
      <c r="AG6" s="31">
        <v>59.7</v>
      </c>
      <c r="AH6" s="31">
        <v>0.28270000000000001</v>
      </c>
      <c r="AI6" s="31">
        <v>0</v>
      </c>
      <c r="AJ6" s="31">
        <v>0</v>
      </c>
      <c r="AK6" s="31">
        <v>20.399999999999999</v>
      </c>
      <c r="AL6" s="31">
        <v>0</v>
      </c>
      <c r="AM6" s="31">
        <v>0</v>
      </c>
      <c r="AN6" s="31">
        <v>90</v>
      </c>
      <c r="AO6" s="31">
        <v>338.99997999999999</v>
      </c>
      <c r="AP6" s="31">
        <v>8.41</v>
      </c>
      <c r="AQ6" s="31">
        <v>672.99996999999996</v>
      </c>
      <c r="AR6" s="31">
        <v>4</v>
      </c>
      <c r="AS6" s="31">
        <v>94</v>
      </c>
      <c r="AU6" s="32">
        <v>27.007000000000001</v>
      </c>
      <c r="AV6" s="32">
        <v>11.935</v>
      </c>
      <c r="AW6" s="32">
        <v>-24.076000000000001</v>
      </c>
      <c r="AX6" s="32">
        <v>2.1463999999999999</v>
      </c>
      <c r="AY6" s="32">
        <v>-6.1486999999999998</v>
      </c>
      <c r="BA6" s="34">
        <v>28.671997000000001</v>
      </c>
      <c r="BB6" s="34">
        <v>13.396156</v>
      </c>
      <c r="BC6" s="34">
        <v>2.960131E-3</v>
      </c>
      <c r="BD6" s="34">
        <v>-3.9807440000000002E-6</v>
      </c>
      <c r="BE6" s="34">
        <v>2.6616669999999998E-9</v>
      </c>
      <c r="BF6" s="35">
        <v>-6.0998629999999999E-13</v>
      </c>
      <c r="BG6" s="34">
        <v>-11.801371</v>
      </c>
    </row>
    <row r="7" spans="1:59" ht="13.5">
      <c r="A7" s="31">
        <v>4</v>
      </c>
      <c r="B7" s="31" t="s">
        <v>99</v>
      </c>
      <c r="C7" s="31" t="s">
        <v>100</v>
      </c>
      <c r="D7" s="31">
        <v>4.0026000000000002</v>
      </c>
      <c r="E7" s="31">
        <v>229</v>
      </c>
      <c r="F7" s="31">
        <v>5.3</v>
      </c>
      <c r="G7" s="31">
        <v>5.7599999999999998E-2</v>
      </c>
      <c r="H7" s="31">
        <v>-0.36499999999999999</v>
      </c>
      <c r="I7" s="31">
        <v>1.1180000000000001</v>
      </c>
      <c r="J7" s="31">
        <v>1.0004999999999999</v>
      </c>
      <c r="K7" s="31">
        <v>1.0004999999999999</v>
      </c>
      <c r="L7" s="31">
        <v>1.0004999999999999</v>
      </c>
      <c r="M7" s="31">
        <v>-5.9999999999999995E-4</v>
      </c>
      <c r="N7" s="31">
        <v>-2.0000000000000001E-4</v>
      </c>
      <c r="O7" s="31">
        <v>0</v>
      </c>
      <c r="P7" s="31">
        <v>0</v>
      </c>
      <c r="Q7" s="31">
        <v>0</v>
      </c>
      <c r="R7" s="31">
        <v>1.0004999999999999</v>
      </c>
      <c r="S7" s="31">
        <v>1.0004999999999999</v>
      </c>
      <c r="T7" s="31">
        <v>-1.6E-2</v>
      </c>
      <c r="U7" s="31">
        <v>-1.6E-2</v>
      </c>
      <c r="V7" s="31">
        <v>0</v>
      </c>
      <c r="W7" s="31">
        <v>0</v>
      </c>
      <c r="X7" s="31">
        <v>0.17860000000000001</v>
      </c>
      <c r="Y7" s="31">
        <v>0.16930000000000001</v>
      </c>
      <c r="Z7" s="31">
        <v>0.13819999999999999</v>
      </c>
      <c r="AA7" s="31">
        <v>0</v>
      </c>
      <c r="AB7" s="31">
        <v>0</v>
      </c>
      <c r="AC7" s="31">
        <v>0</v>
      </c>
      <c r="AD7" s="31">
        <v>0</v>
      </c>
      <c r="AE7" s="31">
        <v>0</v>
      </c>
      <c r="AF7" s="31">
        <v>0</v>
      </c>
      <c r="AG7" s="31">
        <v>10.8</v>
      </c>
      <c r="AH7" s="31">
        <v>0.25700000000000001</v>
      </c>
      <c r="AI7" s="31">
        <v>0</v>
      </c>
      <c r="AJ7" s="31">
        <v>0</v>
      </c>
      <c r="AK7" s="31">
        <v>4.3</v>
      </c>
      <c r="AL7" s="31">
        <v>0</v>
      </c>
      <c r="AM7" s="31">
        <v>0</v>
      </c>
      <c r="AN7" s="31">
        <v>78.2</v>
      </c>
      <c r="AO7" s="31">
        <v>0</v>
      </c>
      <c r="AP7" s="31">
        <v>14.22</v>
      </c>
      <c r="AQ7" s="31">
        <v>0</v>
      </c>
      <c r="AR7" s="31">
        <v>0</v>
      </c>
      <c r="AS7" s="31">
        <v>0</v>
      </c>
      <c r="AU7" s="32">
        <v>20.8</v>
      </c>
      <c r="AV7" s="32">
        <v>0</v>
      </c>
      <c r="AW7" s="32">
        <v>0</v>
      </c>
      <c r="AX7" s="32">
        <v>0</v>
      </c>
      <c r="AY7" s="32">
        <v>0</v>
      </c>
      <c r="BA7" s="34">
        <v>0</v>
      </c>
      <c r="BB7" s="34">
        <v>5.1930500000000004</v>
      </c>
      <c r="BC7" s="34">
        <v>0</v>
      </c>
      <c r="BD7" s="34">
        <v>0</v>
      </c>
      <c r="BE7" s="34">
        <v>0</v>
      </c>
      <c r="BF7" s="35">
        <v>0</v>
      </c>
      <c r="BG7" s="34">
        <v>1.9012640000000001</v>
      </c>
    </row>
    <row r="8" spans="1:59" ht="13.5">
      <c r="A8" s="31">
        <v>5</v>
      </c>
      <c r="B8" s="31" t="s">
        <v>101</v>
      </c>
      <c r="C8" s="31" t="s">
        <v>102</v>
      </c>
      <c r="D8" s="31">
        <v>16.042999999999999</v>
      </c>
      <c r="E8" s="31">
        <v>4604</v>
      </c>
      <c r="F8" s="31">
        <v>190.58</v>
      </c>
      <c r="G8" s="31">
        <v>9.9000000000000005E-2</v>
      </c>
      <c r="H8" s="31">
        <v>1.15E-2</v>
      </c>
      <c r="I8" s="31">
        <v>14.14</v>
      </c>
      <c r="J8" s="31">
        <v>0.99760000000000004</v>
      </c>
      <c r="K8" s="31">
        <v>0.998</v>
      </c>
      <c r="L8" s="31">
        <v>0.99809999999999999</v>
      </c>
      <c r="M8" s="31">
        <v>4.9000000000000002E-2</v>
      </c>
      <c r="N8" s="31">
        <v>4.4699999999999997E-2</v>
      </c>
      <c r="O8" s="31">
        <v>4.36E-2</v>
      </c>
      <c r="P8" s="31">
        <v>890.63</v>
      </c>
      <c r="Q8" s="31">
        <v>802.6</v>
      </c>
      <c r="R8" s="31">
        <v>0.99760000000000004</v>
      </c>
      <c r="S8" s="31">
        <v>0.998</v>
      </c>
      <c r="T8" s="31">
        <v>4.9000000000000002E-2</v>
      </c>
      <c r="U8" s="31">
        <v>4.4699999999999997E-2</v>
      </c>
      <c r="V8" s="31">
        <v>39.723999999999997</v>
      </c>
      <c r="W8" s="31">
        <v>35.795999999999999</v>
      </c>
      <c r="X8" s="31">
        <v>0.7157</v>
      </c>
      <c r="Y8" s="31">
        <v>0.67849999999999999</v>
      </c>
      <c r="Z8" s="31">
        <v>0.55389999999999995</v>
      </c>
      <c r="AA8" s="31">
        <v>2</v>
      </c>
      <c r="AB8" s="31">
        <v>1</v>
      </c>
      <c r="AC8" s="31">
        <v>2</v>
      </c>
      <c r="AD8" s="31">
        <v>0</v>
      </c>
      <c r="AE8" s="31">
        <v>5</v>
      </c>
      <c r="AF8" s="31">
        <v>15</v>
      </c>
      <c r="AG8" s="31">
        <v>140</v>
      </c>
      <c r="AH8" s="31">
        <v>0.38080000000000003</v>
      </c>
      <c r="AI8" s="31">
        <v>-74.847999999999999</v>
      </c>
      <c r="AJ8" s="31">
        <v>-50.793999999999997</v>
      </c>
      <c r="AK8" s="31">
        <v>111.66001</v>
      </c>
      <c r="AL8" s="31">
        <v>0</v>
      </c>
      <c r="AM8" s="31">
        <v>1</v>
      </c>
      <c r="AN8" s="31">
        <v>189.99999</v>
      </c>
      <c r="AO8" s="31">
        <v>148</v>
      </c>
      <c r="AP8" s="31">
        <v>10.050000000000001</v>
      </c>
      <c r="AQ8" s="31">
        <v>902.99999000000003</v>
      </c>
      <c r="AR8" s="31">
        <v>5.0999999999999996</v>
      </c>
      <c r="AS8" s="31">
        <v>61</v>
      </c>
      <c r="AU8" s="32">
        <v>38.4</v>
      </c>
      <c r="AV8" s="32">
        <v>-71.167000000000002</v>
      </c>
      <c r="AW8" s="32">
        <v>276.27100000000002</v>
      </c>
      <c r="AX8" s="32">
        <v>-23.922699999999999</v>
      </c>
      <c r="AY8" s="32">
        <v>68.581299999999999</v>
      </c>
      <c r="BA8" s="34">
        <v>-16.228549000000001</v>
      </c>
      <c r="BB8" s="34">
        <v>2.3935940000000002</v>
      </c>
      <c r="BC8" s="34">
        <v>-2.2180070000000001E-3</v>
      </c>
      <c r="BD8" s="34">
        <v>5.7402200000000002E-6</v>
      </c>
      <c r="BE8" s="34">
        <v>-3.7279049999999999E-9</v>
      </c>
      <c r="BF8" s="35">
        <v>8.5496849999999998E-13</v>
      </c>
      <c r="BG8" s="34">
        <v>-0.339779</v>
      </c>
    </row>
    <row r="9" spans="1:59" ht="13.5">
      <c r="A9" s="31">
        <v>6</v>
      </c>
      <c r="B9" s="31" t="s">
        <v>103</v>
      </c>
      <c r="C9" s="31" t="s">
        <v>104</v>
      </c>
      <c r="D9" s="31">
        <v>30.07</v>
      </c>
      <c r="E9" s="31">
        <v>4880</v>
      </c>
      <c r="F9" s="31">
        <v>305.42</v>
      </c>
      <c r="G9" s="31">
        <v>0.14799999999999999</v>
      </c>
      <c r="H9" s="31">
        <v>9.0800000000000006E-2</v>
      </c>
      <c r="I9" s="31">
        <v>24.286999999999999</v>
      </c>
      <c r="J9" s="31">
        <v>0.99</v>
      </c>
      <c r="K9" s="31">
        <v>0.99150000000000005</v>
      </c>
      <c r="L9" s="31">
        <v>0.99199999999999999</v>
      </c>
      <c r="M9" s="31">
        <v>0.1</v>
      </c>
      <c r="N9" s="31">
        <v>9.2200000000000004E-2</v>
      </c>
      <c r="O9" s="31">
        <v>8.9399999999999993E-2</v>
      </c>
      <c r="P9" s="31">
        <v>1560.69</v>
      </c>
      <c r="Q9" s="31">
        <v>1428.64</v>
      </c>
      <c r="R9" s="31">
        <v>0.98970000000000002</v>
      </c>
      <c r="S9" s="31">
        <v>0.99139999999999995</v>
      </c>
      <c r="T9" s="31">
        <v>0.10150000000000001</v>
      </c>
      <c r="U9" s="31">
        <v>9.2700000000000005E-2</v>
      </c>
      <c r="V9" s="31">
        <v>69.594999999999999</v>
      </c>
      <c r="W9" s="31">
        <v>63.704000000000001</v>
      </c>
      <c r="X9" s="31">
        <v>1.3415999999999999</v>
      </c>
      <c r="Y9" s="31">
        <v>1.2717000000000001</v>
      </c>
      <c r="Z9" s="31">
        <v>1.0382</v>
      </c>
      <c r="AA9" s="31">
        <v>3.5</v>
      </c>
      <c r="AB9" s="31">
        <v>2</v>
      </c>
      <c r="AC9" s="31">
        <v>3</v>
      </c>
      <c r="AD9" s="31">
        <v>0</v>
      </c>
      <c r="AE9" s="31">
        <v>3</v>
      </c>
      <c r="AF9" s="31">
        <v>12.5</v>
      </c>
      <c r="AG9" s="31">
        <v>236</v>
      </c>
      <c r="AH9" s="31">
        <v>0.43840000000000001</v>
      </c>
      <c r="AI9" s="31">
        <v>-84.667000000000002</v>
      </c>
      <c r="AJ9" s="31">
        <v>-32.886000000000003</v>
      </c>
      <c r="AK9" s="31">
        <v>184.54998000000001</v>
      </c>
      <c r="AL9" s="31">
        <v>0.95</v>
      </c>
      <c r="AM9" s="31">
        <v>2.85</v>
      </c>
      <c r="AN9" s="31">
        <v>287</v>
      </c>
      <c r="AO9" s="31">
        <v>300.99999000000003</v>
      </c>
      <c r="AP9" s="31">
        <v>8.48</v>
      </c>
      <c r="AQ9" s="31">
        <v>787.99998000000005</v>
      </c>
      <c r="AR9" s="31">
        <v>3</v>
      </c>
      <c r="AS9" s="31">
        <v>66</v>
      </c>
      <c r="AU9" s="32">
        <v>33.345999999999997</v>
      </c>
      <c r="AV9" s="32">
        <v>-11.337</v>
      </c>
      <c r="AW9" s="32">
        <v>357.72300000000001</v>
      </c>
      <c r="AX9" s="32">
        <v>-37.769199999999998</v>
      </c>
      <c r="AY9" s="32">
        <v>120.3991</v>
      </c>
      <c r="BA9" s="34">
        <v>-4.9334000000000003E-2</v>
      </c>
      <c r="BB9" s="34">
        <v>1.108992</v>
      </c>
      <c r="BC9" s="34">
        <v>-1.88512E-4</v>
      </c>
      <c r="BD9" s="34">
        <v>3.9655800000000001E-6</v>
      </c>
      <c r="BE9" s="34">
        <v>-3.1402089999999999E-9</v>
      </c>
      <c r="BF9" s="35">
        <v>8.0081869999999997E-13</v>
      </c>
      <c r="BG9" s="34">
        <v>1.995889</v>
      </c>
    </row>
    <row r="10" spans="1:59" ht="13.5">
      <c r="A10" s="31">
        <v>7</v>
      </c>
      <c r="B10" s="31" t="s">
        <v>105</v>
      </c>
      <c r="C10" s="31" t="s">
        <v>106</v>
      </c>
      <c r="D10" s="31">
        <v>44.097000000000001</v>
      </c>
      <c r="E10" s="31">
        <v>4250</v>
      </c>
      <c r="F10" s="31">
        <v>369.82</v>
      </c>
      <c r="G10" s="31">
        <v>0.20300000000000001</v>
      </c>
      <c r="H10" s="31">
        <v>0.1454</v>
      </c>
      <c r="I10" s="31">
        <v>34.31</v>
      </c>
      <c r="J10" s="31">
        <v>0.97889999999999999</v>
      </c>
      <c r="K10" s="31">
        <v>0.98209999999999997</v>
      </c>
      <c r="L10" s="31">
        <v>0.98340000000000005</v>
      </c>
      <c r="M10" s="31">
        <v>0.14530000000000001</v>
      </c>
      <c r="N10" s="31">
        <v>0.1338</v>
      </c>
      <c r="O10" s="31">
        <v>0.1288</v>
      </c>
      <c r="P10" s="31">
        <v>2219.17</v>
      </c>
      <c r="Q10" s="31">
        <v>2043.11</v>
      </c>
      <c r="R10" s="31">
        <v>0.97660000000000002</v>
      </c>
      <c r="S10" s="31">
        <v>0.98060000000000003</v>
      </c>
      <c r="T10" s="31">
        <v>0.153</v>
      </c>
      <c r="U10" s="31">
        <v>0.13930000000000001</v>
      </c>
      <c r="V10" s="31">
        <v>99.048000000000002</v>
      </c>
      <c r="W10" s="31">
        <v>91.194999999999993</v>
      </c>
      <c r="X10" s="31">
        <v>1.9674</v>
      </c>
      <c r="Y10" s="31">
        <v>1.865</v>
      </c>
      <c r="Z10" s="31">
        <v>1.5224</v>
      </c>
      <c r="AA10" s="31">
        <v>5</v>
      </c>
      <c r="AB10" s="31">
        <v>3</v>
      </c>
      <c r="AC10" s="31">
        <v>4</v>
      </c>
      <c r="AD10" s="31">
        <v>0</v>
      </c>
      <c r="AE10" s="31">
        <v>2.1</v>
      </c>
      <c r="AF10" s="31">
        <v>9.5</v>
      </c>
      <c r="AG10" s="31">
        <v>206</v>
      </c>
      <c r="AH10" s="31">
        <v>0.52400000000000002</v>
      </c>
      <c r="AI10" s="31">
        <v>-103.84699999999999</v>
      </c>
      <c r="AJ10" s="31">
        <v>-23.489000000000001</v>
      </c>
      <c r="AK10" s="31">
        <v>231.11</v>
      </c>
      <c r="AL10" s="31">
        <v>0.95</v>
      </c>
      <c r="AM10" s="31">
        <v>4.8</v>
      </c>
      <c r="AN10" s="31">
        <v>324</v>
      </c>
      <c r="AO10" s="31">
        <v>398</v>
      </c>
      <c r="AP10" s="31">
        <v>7.45</v>
      </c>
      <c r="AQ10" s="31">
        <v>722.99998000000005</v>
      </c>
      <c r="AR10" s="31">
        <v>2.2999999999999998</v>
      </c>
      <c r="AS10" s="31">
        <v>55</v>
      </c>
      <c r="AU10" s="32">
        <v>31.866</v>
      </c>
      <c r="AV10" s="32">
        <v>62.503</v>
      </c>
      <c r="AW10" s="32">
        <v>386.79599999999999</v>
      </c>
      <c r="AX10" s="32">
        <v>-46.125700000000002</v>
      </c>
      <c r="AY10" s="32">
        <v>154.34800000000001</v>
      </c>
      <c r="BA10" s="34">
        <v>-1.717565</v>
      </c>
      <c r="BB10" s="34">
        <v>0.72264799999999996</v>
      </c>
      <c r="BC10" s="34">
        <v>7.0871599999999997E-4</v>
      </c>
      <c r="BD10" s="34">
        <v>2.9238950000000001E-6</v>
      </c>
      <c r="BE10" s="34">
        <v>-2.6150710000000001E-9</v>
      </c>
      <c r="BF10" s="35">
        <v>7.000545E-13</v>
      </c>
      <c r="BG10" s="34">
        <v>2.2896589999999999</v>
      </c>
    </row>
    <row r="11" spans="1:59" ht="13.5">
      <c r="A11" s="31">
        <v>8</v>
      </c>
      <c r="B11" s="31" t="s">
        <v>107</v>
      </c>
      <c r="C11" s="31" t="s">
        <v>108</v>
      </c>
      <c r="D11" s="31">
        <v>58.122999999999998</v>
      </c>
      <c r="E11" s="31">
        <v>3797</v>
      </c>
      <c r="F11" s="31">
        <v>425.18</v>
      </c>
      <c r="G11" s="31">
        <v>0.255</v>
      </c>
      <c r="H11" s="31">
        <v>0.1928</v>
      </c>
      <c r="I11" s="31">
        <v>43.493000000000002</v>
      </c>
      <c r="J11" s="31">
        <v>0.95720000000000005</v>
      </c>
      <c r="K11" s="31">
        <v>0.96499999999999997</v>
      </c>
      <c r="L11" s="31">
        <v>0.96819999999999995</v>
      </c>
      <c r="M11" s="31">
        <v>0.2069</v>
      </c>
      <c r="N11" s="31">
        <v>0.18709999999999999</v>
      </c>
      <c r="O11" s="31">
        <v>0.17829999999999999</v>
      </c>
      <c r="P11" s="31">
        <v>2877.4</v>
      </c>
      <c r="Q11" s="31">
        <v>2657.32</v>
      </c>
      <c r="R11" s="31">
        <v>0.95540000000000003</v>
      </c>
      <c r="S11" s="31">
        <v>0.96340000000000003</v>
      </c>
      <c r="T11" s="31">
        <v>0.2112</v>
      </c>
      <c r="U11" s="31">
        <v>0.1913</v>
      </c>
      <c r="V11" s="31">
        <v>128.363</v>
      </c>
      <c r="W11" s="31">
        <v>118.54600000000001</v>
      </c>
      <c r="X11" s="31">
        <v>2.5931999999999999</v>
      </c>
      <c r="Y11" s="31">
        <v>2.4582000000000002</v>
      </c>
      <c r="Z11" s="31">
        <v>2.0066999999999999</v>
      </c>
      <c r="AA11" s="31">
        <v>6.5</v>
      </c>
      <c r="AB11" s="31">
        <v>4</v>
      </c>
      <c r="AC11" s="31">
        <v>5</v>
      </c>
      <c r="AD11" s="31">
        <v>0</v>
      </c>
      <c r="AE11" s="31">
        <v>1.8</v>
      </c>
      <c r="AF11" s="31">
        <v>8.4</v>
      </c>
      <c r="AG11" s="31">
        <v>208</v>
      </c>
      <c r="AH11" s="31">
        <v>0.56889999999999996</v>
      </c>
      <c r="AI11" s="31">
        <v>-124.733</v>
      </c>
      <c r="AJ11" s="31">
        <v>-15.707000000000001</v>
      </c>
      <c r="AK11" s="31">
        <v>272.64999999999998</v>
      </c>
      <c r="AL11" s="31">
        <v>1.1000000000000001</v>
      </c>
      <c r="AM11" s="31">
        <v>6.8</v>
      </c>
      <c r="AN11" s="31">
        <v>349</v>
      </c>
      <c r="AO11" s="31">
        <v>513.00000999999997</v>
      </c>
      <c r="AP11" s="31">
        <v>6.71</v>
      </c>
      <c r="AQ11" s="31">
        <v>677.99996999999996</v>
      </c>
      <c r="AR11" s="31">
        <v>1.8</v>
      </c>
      <c r="AS11" s="31">
        <v>49</v>
      </c>
      <c r="AU11" s="32">
        <v>23.986999999999998</v>
      </c>
      <c r="AV11" s="32">
        <v>235.81700000000001</v>
      </c>
      <c r="AW11" s="32">
        <v>122.57299999999999</v>
      </c>
      <c r="AX11" s="32">
        <v>-23.8507</v>
      </c>
      <c r="AY11" s="32">
        <v>83.7958</v>
      </c>
      <c r="BA11" s="34">
        <v>17.283134</v>
      </c>
      <c r="BB11" s="34">
        <v>0.41269600000000001</v>
      </c>
      <c r="BC11" s="34">
        <v>2.0286010000000001E-3</v>
      </c>
      <c r="BD11" s="34">
        <v>7.0295299999999996E-7</v>
      </c>
      <c r="BE11" s="34">
        <v>-1.025871E-9</v>
      </c>
      <c r="BF11" s="35">
        <v>2.8833940000000002E-13</v>
      </c>
      <c r="BG11" s="34">
        <v>2.714861</v>
      </c>
    </row>
    <row r="12" spans="1:59" ht="13.5">
      <c r="A12" s="31">
        <v>9</v>
      </c>
      <c r="B12" s="31" t="s">
        <v>107</v>
      </c>
      <c r="C12" s="31" t="s">
        <v>109</v>
      </c>
      <c r="D12" s="31">
        <v>58.122999999999998</v>
      </c>
      <c r="E12" s="31">
        <v>3648</v>
      </c>
      <c r="F12" s="31">
        <v>408.14</v>
      </c>
      <c r="G12" s="31">
        <v>0.26300000000000001</v>
      </c>
      <c r="H12" s="31">
        <v>0.17560000000000001</v>
      </c>
      <c r="I12" s="31">
        <v>41.024999999999999</v>
      </c>
      <c r="J12" s="31">
        <v>0.95799999999999996</v>
      </c>
      <c r="K12" s="31">
        <v>0.96799999999999997</v>
      </c>
      <c r="L12" s="31">
        <v>0.97099999999999997</v>
      </c>
      <c r="M12" s="31">
        <v>0.2049</v>
      </c>
      <c r="N12" s="31">
        <v>0.1789</v>
      </c>
      <c r="O12" s="31">
        <v>0.17030000000000001</v>
      </c>
      <c r="P12" s="31">
        <v>2868.2</v>
      </c>
      <c r="Q12" s="31">
        <v>2648.12</v>
      </c>
      <c r="R12" s="31">
        <v>0.95830000000000004</v>
      </c>
      <c r="S12" s="31">
        <v>0.96589999999999998</v>
      </c>
      <c r="T12" s="31">
        <v>0.20419999999999999</v>
      </c>
      <c r="U12" s="31">
        <v>0.1847</v>
      </c>
      <c r="V12" s="31">
        <v>127.99</v>
      </c>
      <c r="W12" s="31">
        <v>118.173</v>
      </c>
      <c r="X12" s="31">
        <v>2.5931999999999999</v>
      </c>
      <c r="Y12" s="31">
        <v>2.4582000000000002</v>
      </c>
      <c r="Z12" s="31">
        <v>2.0066999999999999</v>
      </c>
      <c r="AA12" s="31">
        <v>6.5</v>
      </c>
      <c r="AB12" s="31">
        <v>4</v>
      </c>
      <c r="AC12" s="31">
        <v>5</v>
      </c>
      <c r="AD12" s="31">
        <v>0</v>
      </c>
      <c r="AE12" s="31">
        <v>1.8</v>
      </c>
      <c r="AF12" s="31">
        <v>8.4</v>
      </c>
      <c r="AG12" s="31">
        <v>217</v>
      </c>
      <c r="AH12" s="31">
        <v>0.58189999999999997</v>
      </c>
      <c r="AI12" s="31">
        <v>-131.59497999999999</v>
      </c>
      <c r="AJ12" s="31">
        <v>-17.974</v>
      </c>
      <c r="AK12" s="31">
        <v>261.42998999999998</v>
      </c>
      <c r="AL12" s="31">
        <v>1.1000000000000001</v>
      </c>
      <c r="AM12" s="31">
        <v>6.8</v>
      </c>
      <c r="AN12" s="31">
        <v>0</v>
      </c>
      <c r="AO12" s="31">
        <v>513.00000999999997</v>
      </c>
      <c r="AP12" s="31">
        <v>0</v>
      </c>
      <c r="AQ12" s="31">
        <v>732.99998000000005</v>
      </c>
      <c r="AR12" s="31">
        <v>1.8</v>
      </c>
      <c r="AS12" s="31">
        <v>48</v>
      </c>
      <c r="AU12" s="32">
        <v>11.36</v>
      </c>
      <c r="AV12" s="32">
        <v>293.30489999999998</v>
      </c>
      <c r="AW12" s="32">
        <v>34.115000000000002</v>
      </c>
      <c r="AX12" s="32">
        <v>-17.962700000000002</v>
      </c>
      <c r="AY12" s="32">
        <v>69.343299999999999</v>
      </c>
      <c r="BA12" s="34">
        <v>26.744208</v>
      </c>
      <c r="BB12" s="34">
        <v>0.19544800000000001</v>
      </c>
      <c r="BC12" s="34">
        <v>2.5231429999999998E-3</v>
      </c>
      <c r="BD12" s="34">
        <v>1.9565100000000001E-7</v>
      </c>
      <c r="BE12" s="34">
        <v>-7.7261500000000002E-10</v>
      </c>
      <c r="BF12" s="35">
        <v>2.3860869999999999E-13</v>
      </c>
      <c r="BG12" s="34">
        <v>3.4665949999999999</v>
      </c>
    </row>
    <row r="13" spans="1:59" ht="13.5">
      <c r="A13" s="31">
        <v>10</v>
      </c>
      <c r="B13" s="31" t="s">
        <v>110</v>
      </c>
      <c r="C13" s="31" t="s">
        <v>111</v>
      </c>
      <c r="D13" s="31">
        <v>72.150000000000006</v>
      </c>
      <c r="E13" s="31">
        <v>3369</v>
      </c>
      <c r="F13" s="31">
        <v>469.7</v>
      </c>
      <c r="G13" s="31">
        <v>0.30399999999999999</v>
      </c>
      <c r="H13" s="31">
        <v>0.251</v>
      </c>
      <c r="I13" s="31">
        <v>55.277999999999999</v>
      </c>
      <c r="J13" s="31">
        <v>0.91800000000000004</v>
      </c>
      <c r="K13" s="31">
        <v>0.93700000000000006</v>
      </c>
      <c r="L13" s="31">
        <v>0.94499999999999995</v>
      </c>
      <c r="M13" s="31">
        <v>0.28639999999999999</v>
      </c>
      <c r="N13" s="31">
        <v>0.251</v>
      </c>
      <c r="O13" s="31">
        <v>0.23449999999999999</v>
      </c>
      <c r="P13" s="31">
        <v>3535.77</v>
      </c>
      <c r="Q13" s="31">
        <v>3271.67</v>
      </c>
      <c r="R13" s="31">
        <v>0.93189999999999995</v>
      </c>
      <c r="S13" s="31">
        <v>0.94399999999999995</v>
      </c>
      <c r="T13" s="31">
        <v>0.26100000000000001</v>
      </c>
      <c r="U13" s="31">
        <v>0.2366</v>
      </c>
      <c r="V13" s="31">
        <v>157.768</v>
      </c>
      <c r="W13" s="31">
        <v>145.98699999999999</v>
      </c>
      <c r="X13" s="31">
        <v>3.2189999999999999</v>
      </c>
      <c r="Y13" s="31">
        <v>3.0514000000000001</v>
      </c>
      <c r="Z13" s="31">
        <v>2.4910000000000001</v>
      </c>
      <c r="AA13" s="31">
        <v>8</v>
      </c>
      <c r="AB13" s="31">
        <v>5</v>
      </c>
      <c r="AC13" s="31">
        <v>6</v>
      </c>
      <c r="AD13" s="31">
        <v>0</v>
      </c>
      <c r="AE13" s="31">
        <v>1.4</v>
      </c>
      <c r="AF13" s="31">
        <v>7.8</v>
      </c>
      <c r="AG13" s="31">
        <v>269</v>
      </c>
      <c r="AH13" s="31">
        <v>0.6099</v>
      </c>
      <c r="AI13" s="31">
        <v>-146.43998999999999</v>
      </c>
      <c r="AJ13" s="31">
        <v>-8.1999999999999993</v>
      </c>
      <c r="AK13" s="31">
        <v>309.20999999999998</v>
      </c>
      <c r="AL13" s="31">
        <v>1.1499999999999999</v>
      </c>
      <c r="AM13" s="31">
        <v>8.8000000000000007</v>
      </c>
      <c r="AN13" s="31">
        <v>0</v>
      </c>
      <c r="AO13" s="31">
        <v>537.99998000000005</v>
      </c>
      <c r="AP13" s="31">
        <v>0</v>
      </c>
      <c r="AQ13" s="31">
        <v>582.00000999999997</v>
      </c>
      <c r="AR13" s="31">
        <v>0</v>
      </c>
      <c r="AS13" s="31">
        <v>0</v>
      </c>
      <c r="AU13" s="32">
        <v>-0.84399999999999997</v>
      </c>
      <c r="AV13" s="32">
        <v>478.57089999999999</v>
      </c>
      <c r="AW13" s="32">
        <v>-253.357</v>
      </c>
      <c r="AX13" s="32">
        <v>5.7618</v>
      </c>
      <c r="AY13" s="32">
        <v>-3.1259999999999999</v>
      </c>
      <c r="BA13" s="34">
        <v>63.201676999999997</v>
      </c>
      <c r="BB13" s="34">
        <v>-1.1701E-2</v>
      </c>
      <c r="BC13" s="34">
        <v>3.3164980000000002E-3</v>
      </c>
      <c r="BD13" s="34">
        <v>-1.1705099999999999E-6</v>
      </c>
      <c r="BE13" s="34">
        <v>1.9964800000000001E-10</v>
      </c>
      <c r="BF13" s="35">
        <v>-8.6652000000000005E-15</v>
      </c>
      <c r="BG13" s="34">
        <v>4.0752750000000004</v>
      </c>
    </row>
    <row r="14" spans="1:59" ht="13.5">
      <c r="A14" s="31">
        <v>11</v>
      </c>
      <c r="B14" s="31" t="s">
        <v>110</v>
      </c>
      <c r="C14" s="31" t="s">
        <v>112</v>
      </c>
      <c r="D14" s="31">
        <v>72.150000000000006</v>
      </c>
      <c r="E14" s="31">
        <v>3381</v>
      </c>
      <c r="F14" s="31">
        <v>460.43</v>
      </c>
      <c r="G14" s="31">
        <v>0.30599999999999999</v>
      </c>
      <c r="H14" s="31">
        <v>0.2273</v>
      </c>
      <c r="I14" s="31">
        <v>55.343000000000004</v>
      </c>
      <c r="J14" s="31">
        <v>0.93700000000000006</v>
      </c>
      <c r="K14" s="31">
        <v>0.94799999999999995</v>
      </c>
      <c r="L14" s="31">
        <v>0.95299999999999996</v>
      </c>
      <c r="M14" s="31">
        <v>0.251</v>
      </c>
      <c r="N14" s="31">
        <v>0.22800000000000001</v>
      </c>
      <c r="O14" s="31">
        <v>0.21679999999999999</v>
      </c>
      <c r="P14" s="31">
        <v>3528.83</v>
      </c>
      <c r="Q14" s="31">
        <v>3264.73</v>
      </c>
      <c r="R14" s="31">
        <v>0.93940000000000001</v>
      </c>
      <c r="S14" s="31">
        <v>0.94989999999999997</v>
      </c>
      <c r="T14" s="31">
        <v>0.2462</v>
      </c>
      <c r="U14" s="31">
        <v>0.2238</v>
      </c>
      <c r="V14" s="31">
        <v>157.41</v>
      </c>
      <c r="W14" s="31">
        <v>145.62899999999999</v>
      </c>
      <c r="X14" s="31">
        <v>3.2189999999999999</v>
      </c>
      <c r="Y14" s="31">
        <v>3.0514000000000001</v>
      </c>
      <c r="Z14" s="31">
        <v>2.4910000000000001</v>
      </c>
      <c r="AA14" s="31">
        <v>8</v>
      </c>
      <c r="AB14" s="31">
        <v>5</v>
      </c>
      <c r="AC14" s="31">
        <v>6</v>
      </c>
      <c r="AD14" s="31">
        <v>0</v>
      </c>
      <c r="AE14" s="31">
        <v>1.4</v>
      </c>
      <c r="AF14" s="31">
        <v>7.7</v>
      </c>
      <c r="AG14" s="31">
        <v>0</v>
      </c>
      <c r="AH14" s="31">
        <v>0</v>
      </c>
      <c r="AI14" s="31">
        <v>-154.46997999999999</v>
      </c>
      <c r="AJ14" s="31">
        <v>-14.64</v>
      </c>
      <c r="AK14" s="31">
        <v>300.99999000000003</v>
      </c>
      <c r="AL14" s="31">
        <v>1.1499999999999999</v>
      </c>
      <c r="AM14" s="31">
        <v>8.8000000000000007</v>
      </c>
      <c r="AN14" s="31">
        <v>0</v>
      </c>
      <c r="AO14" s="31">
        <v>537.99998000000005</v>
      </c>
      <c r="AP14" s="31">
        <v>0</v>
      </c>
      <c r="AQ14" s="31">
        <v>0</v>
      </c>
      <c r="AR14" s="31">
        <v>0</v>
      </c>
      <c r="AS14" s="31">
        <v>0</v>
      </c>
      <c r="AU14" s="32">
        <v>-9.5169999999999995</v>
      </c>
      <c r="AV14" s="32">
        <v>510.9889</v>
      </c>
      <c r="AW14" s="32">
        <v>-288.577</v>
      </c>
      <c r="AX14" s="32">
        <v>7.2572000000000001</v>
      </c>
      <c r="AY14" s="32">
        <v>-4.6749000000000001</v>
      </c>
      <c r="BA14" s="34">
        <v>64.252075000000005</v>
      </c>
      <c r="BB14" s="34">
        <v>-0.13189999999999999</v>
      </c>
      <c r="BC14" s="34">
        <v>3.5411560000000002E-3</v>
      </c>
      <c r="BD14" s="34">
        <v>-1.3332250000000001E-6</v>
      </c>
      <c r="BE14" s="34">
        <v>2.51463E-10</v>
      </c>
      <c r="BF14" s="35">
        <v>-1.29589E-14</v>
      </c>
      <c r="BG14" s="34">
        <v>4.5729759999999997</v>
      </c>
    </row>
    <row r="15" spans="1:59" ht="13.5">
      <c r="A15" s="31">
        <v>12</v>
      </c>
      <c r="B15" s="31" t="s">
        <v>110</v>
      </c>
      <c r="C15" s="31" t="s">
        <v>113</v>
      </c>
      <c r="D15" s="31">
        <v>72.150000000000006</v>
      </c>
      <c r="E15" s="31">
        <v>3199</v>
      </c>
      <c r="F15" s="31">
        <v>433.78</v>
      </c>
      <c r="G15" s="31">
        <v>0.30299999999999999</v>
      </c>
      <c r="H15" s="31">
        <v>0.19700000000000001</v>
      </c>
      <c r="I15" s="31">
        <v>56.225999999999999</v>
      </c>
      <c r="J15" s="31">
        <v>0.94299999999999995</v>
      </c>
      <c r="K15" s="31">
        <v>0.95499999999999996</v>
      </c>
      <c r="L15" s="31">
        <v>0.95899999999999996</v>
      </c>
      <c r="M15" s="31">
        <v>0.2387</v>
      </c>
      <c r="N15" s="31">
        <v>0.21210000000000001</v>
      </c>
      <c r="O15" s="31">
        <v>0.20250000000000001</v>
      </c>
      <c r="P15" s="31">
        <v>3514.61</v>
      </c>
      <c r="Q15" s="31">
        <v>3250.51</v>
      </c>
      <c r="R15" s="31">
        <v>0.9496</v>
      </c>
      <c r="S15" s="31">
        <v>0.95789999999999997</v>
      </c>
      <c r="T15" s="31">
        <v>0.22450000000000001</v>
      </c>
      <c r="U15" s="31">
        <v>0.20519999999999999</v>
      </c>
      <c r="V15" s="31">
        <v>156.89599999999999</v>
      </c>
      <c r="W15" s="31">
        <v>145.11500000000001</v>
      </c>
      <c r="X15" s="31">
        <v>3.2189999999999999</v>
      </c>
      <c r="Y15" s="31">
        <v>3.0514000000000001</v>
      </c>
      <c r="Z15" s="31">
        <v>2.4910000000000001</v>
      </c>
      <c r="AA15" s="31">
        <v>8</v>
      </c>
      <c r="AB15" s="31">
        <v>5</v>
      </c>
      <c r="AC15" s="31">
        <v>6</v>
      </c>
      <c r="AD15" s="31">
        <v>0</v>
      </c>
      <c r="AE15" s="31">
        <v>1.4</v>
      </c>
      <c r="AF15" s="31">
        <v>7.5</v>
      </c>
      <c r="AG15" s="31">
        <v>223</v>
      </c>
      <c r="AH15" s="31">
        <v>0.49199999999999999</v>
      </c>
      <c r="AI15" s="31">
        <v>-165.97998999999999</v>
      </c>
      <c r="AJ15" s="31">
        <v>-15.23</v>
      </c>
      <c r="AK15" s="31">
        <v>282.64999</v>
      </c>
      <c r="AL15" s="31">
        <v>1.1499999999999999</v>
      </c>
      <c r="AM15" s="31">
        <v>8.8000000000000007</v>
      </c>
      <c r="AN15" s="31">
        <v>0</v>
      </c>
      <c r="AO15" s="31">
        <v>537.99998000000005</v>
      </c>
      <c r="AP15" s="31">
        <v>0</v>
      </c>
      <c r="AQ15" s="31">
        <v>722.99998000000005</v>
      </c>
      <c r="AR15" s="31">
        <v>0</v>
      </c>
      <c r="AS15" s="31">
        <v>0</v>
      </c>
      <c r="AU15" s="32">
        <v>1.321</v>
      </c>
      <c r="AV15" s="32">
        <v>442.02289999999999</v>
      </c>
      <c r="AW15" s="32">
        <v>-81.174999999999997</v>
      </c>
      <c r="AX15" s="32">
        <v>-15.323600000000001</v>
      </c>
      <c r="AY15" s="32">
        <v>74.283299999999997</v>
      </c>
      <c r="BA15" s="34">
        <v>27.380416</v>
      </c>
      <c r="BB15" s="34">
        <v>1.8304999999999998E-2</v>
      </c>
      <c r="BC15" s="34">
        <v>3.0632210000000001E-3</v>
      </c>
      <c r="BD15" s="34">
        <v>-3.7502999999999999E-7</v>
      </c>
      <c r="BE15" s="34">
        <v>-5.3096400000000003E-10</v>
      </c>
      <c r="BF15" s="35">
        <v>2.059134E-13</v>
      </c>
      <c r="BG15" s="34">
        <v>3.3883420000000002</v>
      </c>
    </row>
    <row r="16" spans="1:59" ht="13.5">
      <c r="A16" s="31">
        <v>13</v>
      </c>
      <c r="B16" s="31" t="s">
        <v>114</v>
      </c>
      <c r="C16" s="31" t="s">
        <v>115</v>
      </c>
      <c r="D16" s="31">
        <v>86.177000000000007</v>
      </c>
      <c r="E16" s="31">
        <v>3012</v>
      </c>
      <c r="F16" s="31">
        <v>507.5</v>
      </c>
      <c r="G16" s="31">
        <v>0.37</v>
      </c>
      <c r="H16" s="31">
        <v>0.29570000000000002</v>
      </c>
      <c r="I16" s="31">
        <v>65.575000000000003</v>
      </c>
      <c r="J16" s="31">
        <v>0.89200000000000002</v>
      </c>
      <c r="K16" s="31">
        <v>0.91300000000000003</v>
      </c>
      <c r="L16" s="31">
        <v>0.91900000000000004</v>
      </c>
      <c r="M16" s="31">
        <v>0.3286</v>
      </c>
      <c r="N16" s="31">
        <v>0.29499999999999998</v>
      </c>
      <c r="O16" s="31">
        <v>0.28460000000000002</v>
      </c>
      <c r="P16" s="31">
        <v>4194.95</v>
      </c>
      <c r="Q16" s="31">
        <v>3886.84</v>
      </c>
      <c r="R16" s="31">
        <v>0.89</v>
      </c>
      <c r="S16" s="31">
        <v>0.91149999999999998</v>
      </c>
      <c r="T16" s="31">
        <v>0.33169999999999999</v>
      </c>
      <c r="U16" s="31">
        <v>0.29749999999999999</v>
      </c>
      <c r="V16" s="31">
        <v>187.16</v>
      </c>
      <c r="W16" s="31">
        <v>173.41300000000001</v>
      </c>
      <c r="X16" s="31">
        <v>3.8448000000000002</v>
      </c>
      <c r="Y16" s="31">
        <v>3.6446999999999998</v>
      </c>
      <c r="Z16" s="31">
        <v>2.9752999999999998</v>
      </c>
      <c r="AA16" s="31">
        <v>9.5</v>
      </c>
      <c r="AB16" s="31">
        <v>6</v>
      </c>
      <c r="AC16" s="31">
        <v>7</v>
      </c>
      <c r="AD16" s="31">
        <v>0</v>
      </c>
      <c r="AE16" s="31">
        <v>1.2</v>
      </c>
      <c r="AF16" s="31">
        <v>7.4</v>
      </c>
      <c r="AG16" s="31">
        <v>423</v>
      </c>
      <c r="AH16" s="31">
        <v>0.59160000000000001</v>
      </c>
      <c r="AI16" s="31">
        <v>-167.19</v>
      </c>
      <c r="AJ16" s="31">
        <v>0.21</v>
      </c>
      <c r="AK16" s="31">
        <v>341.87999000000002</v>
      </c>
      <c r="AL16" s="31">
        <v>1.1499999999999999</v>
      </c>
      <c r="AM16" s="31">
        <v>12</v>
      </c>
      <c r="AN16" s="31">
        <v>0</v>
      </c>
      <c r="AO16" s="31">
        <v>635.99996999999996</v>
      </c>
      <c r="AP16" s="31">
        <v>0</v>
      </c>
      <c r="AQ16" s="31">
        <v>497.99999000000003</v>
      </c>
      <c r="AR16" s="31">
        <v>0</v>
      </c>
      <c r="AS16" s="31">
        <v>0</v>
      </c>
      <c r="AU16" s="32">
        <v>82.662999999999997</v>
      </c>
      <c r="AV16" s="32">
        <v>-105.95</v>
      </c>
      <c r="AW16" s="32">
        <v>1587.924</v>
      </c>
      <c r="AX16" s="32">
        <v>-212.37289999999999</v>
      </c>
      <c r="AY16" s="32">
        <v>899.1789</v>
      </c>
      <c r="BA16" s="34">
        <v>-17.191071000000001</v>
      </c>
      <c r="BB16" s="34">
        <v>0.95922600000000002</v>
      </c>
      <c r="BC16" s="34">
        <v>-6.1472499999999999E-4</v>
      </c>
      <c r="BD16" s="34">
        <v>6.1421010000000003E-6</v>
      </c>
      <c r="BE16" s="34">
        <v>-6.1609520000000001E-9</v>
      </c>
      <c r="BF16" s="35">
        <v>2.086819E-12</v>
      </c>
      <c r="BG16" s="34">
        <v>-0.20704</v>
      </c>
    </row>
    <row r="17" spans="1:59" ht="13.5">
      <c r="A17" s="31">
        <v>14</v>
      </c>
      <c r="B17" s="31" t="s">
        <v>114</v>
      </c>
      <c r="C17" s="31" t="s">
        <v>116</v>
      </c>
      <c r="D17" s="31">
        <v>86.177000000000007</v>
      </c>
      <c r="E17" s="31">
        <v>3010</v>
      </c>
      <c r="F17" s="31">
        <v>497.5</v>
      </c>
      <c r="G17" s="31">
        <v>0.36699999999999999</v>
      </c>
      <c r="H17" s="31">
        <v>0.27910000000000001</v>
      </c>
      <c r="I17" s="31">
        <v>65.620999999999995</v>
      </c>
      <c r="J17" s="31">
        <v>0.89800000000000002</v>
      </c>
      <c r="K17" s="31">
        <v>0.91400000000000003</v>
      </c>
      <c r="L17" s="31">
        <v>0.92600000000000005</v>
      </c>
      <c r="M17" s="31">
        <v>0.31940000000000002</v>
      </c>
      <c r="N17" s="31">
        <v>0.29330000000000001</v>
      </c>
      <c r="O17" s="31">
        <v>0.27200000000000002</v>
      </c>
      <c r="P17" s="31">
        <v>4187.32</v>
      </c>
      <c r="Q17" s="31">
        <v>3879.21</v>
      </c>
      <c r="R17" s="31">
        <v>0.90100000000000002</v>
      </c>
      <c r="S17" s="31">
        <v>0.91979999999999995</v>
      </c>
      <c r="T17" s="31">
        <v>0.31459999999999999</v>
      </c>
      <c r="U17" s="31">
        <v>0.28320000000000001</v>
      </c>
      <c r="V17" s="31">
        <v>186.81399999999999</v>
      </c>
      <c r="W17" s="31">
        <v>173.06800000000001</v>
      </c>
      <c r="X17" s="31">
        <v>3.8448000000000002</v>
      </c>
      <c r="Y17" s="31">
        <v>3.6446999999999998</v>
      </c>
      <c r="Z17" s="31">
        <v>2.9752999999999998</v>
      </c>
      <c r="AA17" s="31">
        <v>9.5</v>
      </c>
      <c r="AB17" s="31">
        <v>6</v>
      </c>
      <c r="AC17" s="31">
        <v>7</v>
      </c>
      <c r="AD17" s="31">
        <v>0</v>
      </c>
      <c r="AE17" s="31">
        <v>1.2</v>
      </c>
      <c r="AF17" s="31">
        <v>7</v>
      </c>
      <c r="AG17" s="31">
        <v>267</v>
      </c>
      <c r="AH17" s="31">
        <v>0.80700000000000005</v>
      </c>
      <c r="AI17" s="31">
        <v>-174.30999</v>
      </c>
      <c r="AJ17" s="31">
        <v>-4.6399999999999997</v>
      </c>
      <c r="AK17" s="31">
        <v>333.40998999999999</v>
      </c>
      <c r="AL17" s="31">
        <v>1.1499999999999999</v>
      </c>
      <c r="AM17" s="31">
        <v>12</v>
      </c>
      <c r="AN17" s="31">
        <v>0</v>
      </c>
      <c r="AO17" s="31">
        <v>635.99996999999996</v>
      </c>
      <c r="AP17" s="31">
        <v>0</v>
      </c>
      <c r="AQ17" s="31">
        <v>0</v>
      </c>
      <c r="AR17" s="31">
        <v>0</v>
      </c>
      <c r="AS17" s="31">
        <v>0</v>
      </c>
      <c r="AU17" s="32">
        <v>14.968</v>
      </c>
      <c r="AV17" s="32">
        <v>404.85890000000001</v>
      </c>
      <c r="AW17" s="32">
        <v>218.226</v>
      </c>
      <c r="AX17" s="32">
        <v>-53.743899999999996</v>
      </c>
      <c r="AY17" s="32">
        <v>238.4812</v>
      </c>
      <c r="BA17" s="34">
        <v>33.798408000000002</v>
      </c>
      <c r="BB17" s="34">
        <v>0.17368500000000001</v>
      </c>
      <c r="BC17" s="34">
        <v>2.3489980000000001E-3</v>
      </c>
      <c r="BD17" s="34">
        <v>8.4409999999999999E-7</v>
      </c>
      <c r="BE17" s="34">
        <v>-1.5591149999999999E-9</v>
      </c>
      <c r="BF17" s="35">
        <v>5.5346840000000005E-13</v>
      </c>
      <c r="BG17" s="34">
        <v>2.968423</v>
      </c>
    </row>
    <row r="18" spans="1:59" ht="13.5">
      <c r="A18" s="31">
        <v>15</v>
      </c>
      <c r="B18" s="31" t="s">
        <v>114</v>
      </c>
      <c r="C18" s="31" t="s">
        <v>117</v>
      </c>
      <c r="D18" s="31">
        <v>86.177000000000007</v>
      </c>
      <c r="E18" s="31">
        <v>3124</v>
      </c>
      <c r="F18" s="31">
        <v>504.5</v>
      </c>
      <c r="G18" s="31">
        <v>0.36699999999999999</v>
      </c>
      <c r="H18" s="31">
        <v>0.27500000000000002</v>
      </c>
      <c r="I18" s="31">
        <v>65.352999999999994</v>
      </c>
      <c r="J18" s="31">
        <v>0.89800000000000002</v>
      </c>
      <c r="K18" s="31">
        <v>0.91700000000000004</v>
      </c>
      <c r="L18" s="31">
        <v>0.92800000000000005</v>
      </c>
      <c r="M18" s="31">
        <v>0.31940000000000002</v>
      </c>
      <c r="N18" s="31">
        <v>0.28810000000000002</v>
      </c>
      <c r="O18" s="31">
        <v>0.26829999999999998</v>
      </c>
      <c r="P18" s="31">
        <v>4189.8999999999996</v>
      </c>
      <c r="Q18" s="31">
        <v>3881.79</v>
      </c>
      <c r="R18" s="31">
        <v>0.9002</v>
      </c>
      <c r="S18" s="31">
        <v>0.91930000000000001</v>
      </c>
      <c r="T18" s="31">
        <v>0.31590000000000001</v>
      </c>
      <c r="U18" s="31">
        <v>0.28410000000000002</v>
      </c>
      <c r="V18" s="31">
        <v>186.93199999999999</v>
      </c>
      <c r="W18" s="31">
        <v>173.185</v>
      </c>
      <c r="X18" s="31">
        <v>3.8448000000000002</v>
      </c>
      <c r="Y18" s="31">
        <v>3.6446999999999998</v>
      </c>
      <c r="Z18" s="31">
        <v>2.9752999999999998</v>
      </c>
      <c r="AA18" s="31">
        <v>9.5</v>
      </c>
      <c r="AB18" s="31">
        <v>6</v>
      </c>
      <c r="AC18" s="31">
        <v>7</v>
      </c>
      <c r="AD18" s="31">
        <v>0</v>
      </c>
      <c r="AE18" s="31">
        <v>1.2</v>
      </c>
      <c r="AF18" s="31">
        <v>7</v>
      </c>
      <c r="AG18" s="31">
        <v>265</v>
      </c>
      <c r="AH18" s="31">
        <v>0.85899999999999999</v>
      </c>
      <c r="AI18" s="31">
        <v>-171.62998999999999</v>
      </c>
      <c r="AJ18" s="31">
        <v>-2.13</v>
      </c>
      <c r="AK18" s="31">
        <v>336.41998999999998</v>
      </c>
      <c r="AL18" s="31">
        <v>1.1499999999999999</v>
      </c>
      <c r="AM18" s="31">
        <v>12</v>
      </c>
      <c r="AN18" s="31">
        <v>0</v>
      </c>
      <c r="AO18" s="31">
        <v>635.99996999999996</v>
      </c>
      <c r="AP18" s="31">
        <v>0</v>
      </c>
      <c r="AQ18" s="31">
        <v>0</v>
      </c>
      <c r="AR18" s="31">
        <v>0</v>
      </c>
      <c r="AS18" s="31">
        <v>0</v>
      </c>
      <c r="AU18" s="32">
        <v>34.280999999999999</v>
      </c>
      <c r="AV18" s="32">
        <v>208.52590000000001</v>
      </c>
      <c r="AW18" s="32">
        <v>841.404</v>
      </c>
      <c r="AX18" s="32">
        <v>-135.9067</v>
      </c>
      <c r="AY18" s="32">
        <v>619.79139999999995</v>
      </c>
      <c r="BA18" s="34">
        <v>17.964767999999999</v>
      </c>
      <c r="BB18" s="34">
        <v>0.39779900000000001</v>
      </c>
      <c r="BC18" s="34">
        <v>1.20987E-3</v>
      </c>
      <c r="BD18" s="34">
        <v>3.2545560000000002E-6</v>
      </c>
      <c r="BE18" s="34">
        <v>-3.9426609999999996E-9</v>
      </c>
      <c r="BF18" s="35">
        <v>1.4384148000000001E-12</v>
      </c>
      <c r="BG18" s="34">
        <v>2.1495410000000001</v>
      </c>
    </row>
    <row r="19" spans="1:59" ht="13.5">
      <c r="A19" s="31">
        <v>16</v>
      </c>
      <c r="B19" s="31" t="s">
        <v>114</v>
      </c>
      <c r="C19" s="31" t="s">
        <v>118</v>
      </c>
      <c r="D19" s="31">
        <v>86.177000000000007</v>
      </c>
      <c r="E19" s="31">
        <v>3080</v>
      </c>
      <c r="F19" s="31">
        <v>488.78</v>
      </c>
      <c r="G19" s="31">
        <v>0.35899999999999999</v>
      </c>
      <c r="H19" s="31">
        <v>0.23100000000000001</v>
      </c>
      <c r="I19" s="31">
        <v>65.563000000000002</v>
      </c>
      <c r="J19" s="31">
        <v>0.91600000000000004</v>
      </c>
      <c r="K19" s="31">
        <v>0.93100000000000005</v>
      </c>
      <c r="L19" s="31">
        <v>0.93500000000000005</v>
      </c>
      <c r="M19" s="31">
        <v>0.2898</v>
      </c>
      <c r="N19" s="31">
        <v>0.26269999999999999</v>
      </c>
      <c r="O19" s="31">
        <v>0.255</v>
      </c>
      <c r="P19" s="31">
        <v>4177.5200000000004</v>
      </c>
      <c r="Q19" s="31">
        <v>3869.41</v>
      </c>
      <c r="R19" s="31">
        <v>0.9153</v>
      </c>
      <c r="S19" s="31">
        <v>0.93069999999999997</v>
      </c>
      <c r="T19" s="31">
        <v>0.29099999999999998</v>
      </c>
      <c r="U19" s="31">
        <v>0.26319999999999999</v>
      </c>
      <c r="V19" s="31">
        <v>186.4</v>
      </c>
      <c r="W19" s="31">
        <v>172.65299999999999</v>
      </c>
      <c r="X19" s="31">
        <v>3.8448000000000002</v>
      </c>
      <c r="Y19" s="31">
        <v>3.6446999999999998</v>
      </c>
      <c r="Z19" s="31">
        <v>2.9752999999999998</v>
      </c>
      <c r="AA19" s="31">
        <v>9.5</v>
      </c>
      <c r="AB19" s="31">
        <v>6</v>
      </c>
      <c r="AC19" s="31">
        <v>7</v>
      </c>
      <c r="AD19" s="31">
        <v>0</v>
      </c>
      <c r="AE19" s="31">
        <v>1.2</v>
      </c>
      <c r="AF19" s="31">
        <v>7</v>
      </c>
      <c r="AG19" s="31">
        <v>266</v>
      </c>
      <c r="AH19" s="31">
        <v>0.76100000000000001</v>
      </c>
      <c r="AI19" s="31">
        <v>-185.56</v>
      </c>
      <c r="AJ19" s="31">
        <v>-9.75</v>
      </c>
      <c r="AK19" s="31">
        <v>322.87999000000002</v>
      </c>
      <c r="AL19" s="31">
        <v>1.1499999999999999</v>
      </c>
      <c r="AM19" s="31">
        <v>12</v>
      </c>
      <c r="AN19" s="31">
        <v>0</v>
      </c>
      <c r="AO19" s="31">
        <v>635.99996999999996</v>
      </c>
      <c r="AP19" s="31">
        <v>0</v>
      </c>
      <c r="AQ19" s="31">
        <v>0</v>
      </c>
      <c r="AR19" s="31">
        <v>0</v>
      </c>
      <c r="AS19" s="31">
        <v>0</v>
      </c>
      <c r="AU19" s="32">
        <v>-43.116</v>
      </c>
      <c r="AV19" s="32">
        <v>780.03689999999995</v>
      </c>
      <c r="AW19" s="32">
        <v>-624.42700000000002</v>
      </c>
      <c r="AX19" s="32">
        <v>24.584499999999998</v>
      </c>
      <c r="AY19" s="32">
        <v>-25.4695</v>
      </c>
      <c r="BA19" s="34">
        <v>92.706800999999999</v>
      </c>
      <c r="BB19" s="34">
        <v>-0.50032299999999996</v>
      </c>
      <c r="BC19" s="34">
        <v>4.5257830000000002E-3</v>
      </c>
      <c r="BD19" s="34">
        <v>-2.4152900000000001E-6</v>
      </c>
      <c r="BE19" s="34">
        <v>7.1319899999999997E-10</v>
      </c>
      <c r="BF19" s="35">
        <v>-5.9109700000000004E-14</v>
      </c>
      <c r="BG19" s="34">
        <v>5.6171129999999998</v>
      </c>
    </row>
    <row r="20" spans="1:59" ht="13.5">
      <c r="A20" s="31">
        <v>17</v>
      </c>
      <c r="B20" s="31" t="s">
        <v>114</v>
      </c>
      <c r="C20" s="31" t="s">
        <v>119</v>
      </c>
      <c r="D20" s="31">
        <v>86.177000000000007</v>
      </c>
      <c r="E20" s="31">
        <v>3127</v>
      </c>
      <c r="F20" s="31">
        <v>499.98</v>
      </c>
      <c r="G20" s="31">
        <v>0.35799999999999998</v>
      </c>
      <c r="H20" s="31">
        <v>0.24729999999999999</v>
      </c>
      <c r="I20" s="31">
        <v>65.367000000000004</v>
      </c>
      <c r="J20" s="31">
        <v>0.91</v>
      </c>
      <c r="K20" s="31">
        <v>0.92500000000000004</v>
      </c>
      <c r="L20" s="31">
        <v>0.93400000000000005</v>
      </c>
      <c r="M20" s="31">
        <v>0.3</v>
      </c>
      <c r="N20" s="31">
        <v>0.27389999999999998</v>
      </c>
      <c r="O20" s="31">
        <v>0.25690000000000002</v>
      </c>
      <c r="P20" s="31">
        <v>4185.28</v>
      </c>
      <c r="Q20" s="31">
        <v>3877.17</v>
      </c>
      <c r="R20" s="31">
        <v>0.90720000000000001</v>
      </c>
      <c r="S20" s="31">
        <v>0.92449999999999999</v>
      </c>
      <c r="T20" s="31">
        <v>0.30459999999999998</v>
      </c>
      <c r="U20" s="31">
        <v>0.27479999999999999</v>
      </c>
      <c r="V20" s="31">
        <v>186.76</v>
      </c>
      <c r="W20" s="31">
        <v>173.01400000000001</v>
      </c>
      <c r="X20" s="31">
        <v>3.8448000000000002</v>
      </c>
      <c r="Y20" s="31">
        <v>3.6446999999999998</v>
      </c>
      <c r="Z20" s="31">
        <v>2.9752999999999998</v>
      </c>
      <c r="AA20" s="31">
        <v>9.5</v>
      </c>
      <c r="AB20" s="31">
        <v>6</v>
      </c>
      <c r="AC20" s="31">
        <v>7</v>
      </c>
      <c r="AD20" s="31">
        <v>0</v>
      </c>
      <c r="AE20" s="31">
        <v>1.2</v>
      </c>
      <c r="AF20" s="31">
        <v>7</v>
      </c>
      <c r="AG20" s="31">
        <v>412</v>
      </c>
      <c r="AH20" s="31">
        <v>0.67500000000000004</v>
      </c>
      <c r="AI20" s="31">
        <v>-177.78</v>
      </c>
      <c r="AJ20" s="31">
        <v>-3.97</v>
      </c>
      <c r="AK20" s="31">
        <v>331.12995999999998</v>
      </c>
      <c r="AL20" s="31">
        <v>1.1499999999999999</v>
      </c>
      <c r="AM20" s="31">
        <v>12</v>
      </c>
      <c r="AN20" s="31">
        <v>0</v>
      </c>
      <c r="AO20" s="31">
        <v>635.99996999999996</v>
      </c>
      <c r="AP20" s="31">
        <v>0</v>
      </c>
      <c r="AQ20" s="31">
        <v>0</v>
      </c>
      <c r="AR20" s="31">
        <v>0</v>
      </c>
      <c r="AS20" s="31">
        <v>0</v>
      </c>
      <c r="AU20" s="32">
        <v>-14.598000000000001</v>
      </c>
      <c r="AV20" s="32">
        <v>614.62990000000002</v>
      </c>
      <c r="AW20" s="32">
        <v>-337.35500000000002</v>
      </c>
      <c r="AX20" s="32">
        <v>6.8156999999999996</v>
      </c>
      <c r="AY20" s="32">
        <v>0</v>
      </c>
      <c r="BA20" s="34">
        <v>92.706800999999999</v>
      </c>
      <c r="BB20" s="34">
        <v>-0.50032299999999996</v>
      </c>
      <c r="BC20" s="34">
        <v>4.5257830000000002E-3</v>
      </c>
      <c r="BD20" s="34">
        <v>-2.4152900000000001E-6</v>
      </c>
      <c r="BE20" s="34">
        <v>7.1319899999999997E-10</v>
      </c>
      <c r="BF20" s="35">
        <v>-5.9109700000000004E-14</v>
      </c>
      <c r="BG20" s="34">
        <v>5.6171129999999998</v>
      </c>
    </row>
    <row r="21" spans="1:59" ht="13.5">
      <c r="A21" s="31">
        <v>18</v>
      </c>
      <c r="B21" s="31" t="s">
        <v>120</v>
      </c>
      <c r="C21" s="31" t="s">
        <v>121</v>
      </c>
      <c r="D21" s="31">
        <v>100.20399999999999</v>
      </c>
      <c r="E21" s="31">
        <v>2736</v>
      </c>
      <c r="F21" s="31">
        <v>540.29999999999995</v>
      </c>
      <c r="G21" s="31">
        <v>0.432</v>
      </c>
      <c r="H21" s="31">
        <v>0.35060000000000002</v>
      </c>
      <c r="I21" s="31">
        <v>75.882999999999996</v>
      </c>
      <c r="J21" s="31">
        <v>0.83</v>
      </c>
      <c r="K21" s="31">
        <v>0.86599999999999999</v>
      </c>
      <c r="L21" s="31">
        <v>0.876</v>
      </c>
      <c r="M21" s="31">
        <v>0.4123</v>
      </c>
      <c r="N21" s="31">
        <v>0.36609999999999998</v>
      </c>
      <c r="O21" s="31">
        <v>0.35210000000000002</v>
      </c>
      <c r="P21" s="31">
        <v>4853.43</v>
      </c>
      <c r="Q21" s="31">
        <v>4501.3</v>
      </c>
      <c r="R21" s="31">
        <v>0.82850000000000001</v>
      </c>
      <c r="S21" s="31">
        <v>0.86529999999999996</v>
      </c>
      <c r="T21" s="31">
        <v>0.41410000000000002</v>
      </c>
      <c r="U21" s="31">
        <v>0.36699999999999999</v>
      </c>
      <c r="V21" s="31">
        <v>216.54599999999999</v>
      </c>
      <c r="W21" s="31">
        <v>200.83500000000001</v>
      </c>
      <c r="X21" s="31">
        <v>4.4706000000000001</v>
      </c>
      <c r="Y21" s="31">
        <v>4.2378999999999998</v>
      </c>
      <c r="Z21" s="31">
        <v>3.4596</v>
      </c>
      <c r="AA21" s="31">
        <v>11</v>
      </c>
      <c r="AB21" s="31">
        <v>7</v>
      </c>
      <c r="AC21" s="31">
        <v>8</v>
      </c>
      <c r="AD21" s="31">
        <v>0</v>
      </c>
      <c r="AE21" s="31">
        <v>1.1000000000000001</v>
      </c>
      <c r="AF21" s="31">
        <v>6.7</v>
      </c>
      <c r="AG21" s="31">
        <v>0</v>
      </c>
      <c r="AH21" s="31">
        <v>0</v>
      </c>
      <c r="AI21" s="31">
        <v>-187.82</v>
      </c>
      <c r="AJ21" s="31">
        <v>8.74</v>
      </c>
      <c r="AK21" s="31">
        <v>371.57997</v>
      </c>
      <c r="AL21" s="31">
        <v>1.1499999999999999</v>
      </c>
      <c r="AM21" s="31">
        <v>15</v>
      </c>
      <c r="AN21" s="31">
        <v>0</v>
      </c>
      <c r="AO21" s="31">
        <v>0</v>
      </c>
      <c r="AP21" s="31">
        <v>0</v>
      </c>
      <c r="AQ21" s="31">
        <v>488</v>
      </c>
      <c r="AR21" s="31">
        <v>0</v>
      </c>
      <c r="AS21" s="31">
        <v>0</v>
      </c>
      <c r="AU21" s="32">
        <v>75.602999999999994</v>
      </c>
      <c r="AV21" s="32">
        <v>52.451999999999998</v>
      </c>
      <c r="AW21" s="32">
        <v>1312.567</v>
      </c>
      <c r="AX21" s="32">
        <v>-179.74449999999999</v>
      </c>
      <c r="AY21" s="32">
        <v>743.61130000000003</v>
      </c>
      <c r="BA21" s="34">
        <v>-0.153725</v>
      </c>
      <c r="BB21" s="34">
        <v>0.75449900000000003</v>
      </c>
      <c r="BC21" s="34">
        <v>2.6172800000000003E-4</v>
      </c>
      <c r="BD21" s="34">
        <v>4.3663580000000004E-6</v>
      </c>
      <c r="BE21" s="34">
        <v>-4.4845100000000003E-9</v>
      </c>
      <c r="BF21" s="35">
        <v>1.4842098999999999E-12</v>
      </c>
      <c r="BG21" s="34">
        <v>0.380048</v>
      </c>
    </row>
    <row r="22" spans="1:59" ht="13.5">
      <c r="A22" s="31">
        <v>19</v>
      </c>
      <c r="B22" s="31" t="s">
        <v>120</v>
      </c>
      <c r="C22" s="31" t="s">
        <v>122</v>
      </c>
      <c r="D22" s="31">
        <v>100.20399999999999</v>
      </c>
      <c r="E22" s="31">
        <v>2734</v>
      </c>
      <c r="F22" s="31">
        <v>530.37</v>
      </c>
      <c r="G22" s="31">
        <v>0.42099999999999999</v>
      </c>
      <c r="H22" s="31">
        <v>0.32979999999999998</v>
      </c>
      <c r="I22" s="31">
        <v>75.927999999999997</v>
      </c>
      <c r="J22" s="31">
        <v>0.84670000000000001</v>
      </c>
      <c r="K22" s="31">
        <v>0.87860000000000005</v>
      </c>
      <c r="L22" s="31">
        <v>0.88700000000000001</v>
      </c>
      <c r="M22" s="31">
        <v>0</v>
      </c>
      <c r="N22" s="31">
        <v>0</v>
      </c>
      <c r="O22" s="31">
        <v>0</v>
      </c>
      <c r="P22" s="31">
        <v>0</v>
      </c>
      <c r="Q22" s="31">
        <v>0</v>
      </c>
      <c r="R22" s="31">
        <v>0.84589999999999999</v>
      </c>
      <c r="S22" s="31">
        <v>0.87809999999999999</v>
      </c>
      <c r="T22" s="31">
        <v>0.3926</v>
      </c>
      <c r="U22" s="31">
        <v>0.34910000000000002</v>
      </c>
      <c r="V22" s="31">
        <v>216.23</v>
      </c>
      <c r="W22" s="31">
        <v>200.52</v>
      </c>
      <c r="X22" s="31">
        <v>4.4706000000000001</v>
      </c>
      <c r="Y22" s="31">
        <v>4.2378999999999998</v>
      </c>
      <c r="Z22" s="31">
        <v>3.4596</v>
      </c>
      <c r="AA22" s="31">
        <v>11</v>
      </c>
      <c r="AB22" s="31">
        <v>7</v>
      </c>
      <c r="AC22" s="31">
        <v>8</v>
      </c>
      <c r="AD22" s="31">
        <v>0</v>
      </c>
      <c r="AE22" s="31">
        <v>1.1000000000000001</v>
      </c>
      <c r="AF22" s="31">
        <v>6.7</v>
      </c>
      <c r="AG22" s="31">
        <v>0</v>
      </c>
      <c r="AH22" s="31">
        <v>0</v>
      </c>
      <c r="AI22" s="31">
        <v>-194.96997999999999</v>
      </c>
      <c r="AJ22" s="31">
        <v>4.0999999999999996</v>
      </c>
      <c r="AK22" s="31">
        <v>363.2</v>
      </c>
      <c r="AL22" s="31">
        <v>1.1499999999999999</v>
      </c>
      <c r="AM22" s="31">
        <v>15</v>
      </c>
      <c r="AN22" s="31">
        <v>0</v>
      </c>
      <c r="AO22" s="31">
        <v>0</v>
      </c>
      <c r="AP22" s="31">
        <v>0</v>
      </c>
      <c r="AQ22" s="31">
        <v>0</v>
      </c>
      <c r="AR22" s="31">
        <v>0</v>
      </c>
      <c r="AS22" s="31">
        <v>0</v>
      </c>
      <c r="AU22" s="32">
        <v>40.567</v>
      </c>
      <c r="AV22" s="32">
        <v>267.47190000000001</v>
      </c>
      <c r="AW22" s="32">
        <v>865.06200000000001</v>
      </c>
      <c r="AX22" s="32">
        <v>-140.75790000000001</v>
      </c>
      <c r="AY22" s="32">
        <v>628.27549999999997</v>
      </c>
      <c r="BA22" s="34">
        <v>17.893709000000001</v>
      </c>
      <c r="BB22" s="34">
        <v>0.40484900000000001</v>
      </c>
      <c r="BC22" s="34">
        <v>1.3346530000000001E-3</v>
      </c>
      <c r="BD22" s="34">
        <v>2.8776979999999999E-6</v>
      </c>
      <c r="BE22" s="34">
        <v>-3.5118180000000002E-9</v>
      </c>
      <c r="BF22" s="35">
        <v>1.2540055000000001E-12</v>
      </c>
      <c r="BG22" s="34">
        <v>1.823456</v>
      </c>
    </row>
    <row r="23" spans="1:59">
      <c r="A23" s="31">
        <v>20</v>
      </c>
      <c r="B23" s="31" t="s">
        <v>120</v>
      </c>
      <c r="C23" s="31" t="s">
        <v>123</v>
      </c>
      <c r="D23" s="31">
        <v>100.20399999999999</v>
      </c>
      <c r="E23" s="31">
        <v>2814</v>
      </c>
      <c r="F23" s="31">
        <v>535.29999999999995</v>
      </c>
      <c r="G23" s="31">
        <v>0.40400000000000003</v>
      </c>
      <c r="H23" s="31">
        <v>0.32400000000000001</v>
      </c>
      <c r="I23" s="31">
        <v>75.686000000000007</v>
      </c>
      <c r="J23" s="31">
        <v>0.84599999999999997</v>
      </c>
      <c r="K23" s="31">
        <v>0.87829999999999997</v>
      </c>
      <c r="L23" s="31">
        <v>0.88680000000000003</v>
      </c>
      <c r="M23" s="31">
        <v>0</v>
      </c>
      <c r="N23" s="31">
        <v>0</v>
      </c>
      <c r="O23" s="31">
        <v>0</v>
      </c>
      <c r="P23" s="31">
        <v>0</v>
      </c>
      <c r="Q23" s="31">
        <v>0</v>
      </c>
      <c r="R23" s="31">
        <v>0.84570000000000001</v>
      </c>
      <c r="S23" s="31">
        <v>0.87809999999999999</v>
      </c>
      <c r="T23" s="31">
        <v>0.39279999999999998</v>
      </c>
      <c r="U23" s="31">
        <v>0.34910000000000002</v>
      </c>
      <c r="V23" s="31">
        <v>216.381</v>
      </c>
      <c r="W23" s="31">
        <v>200.67099999999999</v>
      </c>
      <c r="X23" s="31">
        <v>4.4706000000000001</v>
      </c>
      <c r="Y23" s="31">
        <v>4.2378999999999998</v>
      </c>
      <c r="Z23" s="31">
        <v>3.4596</v>
      </c>
      <c r="AA23" s="31">
        <v>11</v>
      </c>
      <c r="AB23" s="31">
        <v>7</v>
      </c>
      <c r="AC23" s="31">
        <v>8</v>
      </c>
      <c r="AD23" s="31">
        <v>0</v>
      </c>
      <c r="AE23" s="31">
        <v>1.1000000000000001</v>
      </c>
      <c r="AF23" s="31">
        <v>6.7</v>
      </c>
      <c r="AG23" s="31">
        <v>0</v>
      </c>
      <c r="AH23" s="31">
        <v>0</v>
      </c>
      <c r="AI23" s="31">
        <v>-192.19999000000001</v>
      </c>
      <c r="AJ23" s="31">
        <v>4.6900000000000004</v>
      </c>
      <c r="AK23" s="31">
        <v>365</v>
      </c>
      <c r="AL23" s="31">
        <v>1.1499999999999999</v>
      </c>
      <c r="AM23" s="31">
        <v>15</v>
      </c>
      <c r="AN23" s="31">
        <v>0</v>
      </c>
      <c r="AO23" s="31">
        <v>0</v>
      </c>
      <c r="AP23" s="31">
        <v>0</v>
      </c>
      <c r="AQ23" s="31">
        <v>0</v>
      </c>
      <c r="AR23" s="31">
        <v>0</v>
      </c>
      <c r="AS23" s="31">
        <v>0</v>
      </c>
      <c r="BA23" s="34">
        <v>36.807299</v>
      </c>
      <c r="BB23" s="34">
        <v>0.167431</v>
      </c>
      <c r="BC23" s="34">
        <v>2.2622499999999999E-3</v>
      </c>
      <c r="BD23" s="34">
        <v>1.067097E-6</v>
      </c>
      <c r="BE23" s="34">
        <v>-1.781538E-9</v>
      </c>
      <c r="BF23" s="35">
        <v>6.169491E-13</v>
      </c>
      <c r="BG23" s="34">
        <v>2.8649930000000001</v>
      </c>
    </row>
    <row r="24" spans="1:59" ht="13.5">
      <c r="A24" s="31">
        <v>21</v>
      </c>
      <c r="B24" s="31" t="s">
        <v>124</v>
      </c>
      <c r="C24" s="31" t="s">
        <v>125</v>
      </c>
      <c r="D24" s="31">
        <v>114.23099999999999</v>
      </c>
      <c r="E24" s="31">
        <v>2487</v>
      </c>
      <c r="F24" s="31">
        <v>568.83000000000004</v>
      </c>
      <c r="G24" s="31">
        <v>0.49199999999999999</v>
      </c>
      <c r="H24" s="31">
        <v>0.39779999999999999</v>
      </c>
      <c r="I24" s="31">
        <v>86.21</v>
      </c>
      <c r="J24" s="31">
        <v>0.74199999999999999</v>
      </c>
      <c r="K24" s="31">
        <v>0.80200000000000005</v>
      </c>
      <c r="L24" s="31">
        <v>0.81699999999999995</v>
      </c>
      <c r="M24" s="31">
        <v>0.50790000000000002</v>
      </c>
      <c r="N24" s="31">
        <v>0.44500000000000001</v>
      </c>
      <c r="O24" s="31">
        <v>0.42780000000000001</v>
      </c>
      <c r="P24" s="31">
        <v>5511.8</v>
      </c>
      <c r="Q24" s="31">
        <v>5115.66</v>
      </c>
      <c r="R24" s="31">
        <v>0.73719999999999997</v>
      </c>
      <c r="S24" s="31">
        <v>0.79859999999999998</v>
      </c>
      <c r="T24" s="31">
        <v>0.51259999999999994</v>
      </c>
      <c r="U24" s="31">
        <v>0.44879999999999998</v>
      </c>
      <c r="V24" s="31">
        <v>245.90899999999999</v>
      </c>
      <c r="W24" s="31">
        <v>228.23500000000001</v>
      </c>
      <c r="X24" s="31">
        <v>5.0964999999999998</v>
      </c>
      <c r="Y24" s="31">
        <v>4.8311999999999999</v>
      </c>
      <c r="Z24" s="31">
        <v>3.9439000000000002</v>
      </c>
      <c r="AA24" s="31">
        <v>12.5</v>
      </c>
      <c r="AB24" s="31">
        <v>8</v>
      </c>
      <c r="AC24" s="31">
        <v>9</v>
      </c>
      <c r="AD24" s="31">
        <v>0</v>
      </c>
      <c r="AE24" s="31">
        <v>1</v>
      </c>
      <c r="AF24" s="31">
        <v>6.5</v>
      </c>
      <c r="AG24" s="31">
        <v>333</v>
      </c>
      <c r="AH24" s="31">
        <v>0.74070000000000003</v>
      </c>
      <c r="AI24" s="31">
        <v>-208.44998000000001</v>
      </c>
      <c r="AJ24" s="31">
        <v>17.32</v>
      </c>
      <c r="AK24" s="31">
        <v>398.82999000000001</v>
      </c>
      <c r="AL24" s="31">
        <v>1.1499999999999999</v>
      </c>
      <c r="AM24" s="31">
        <v>15</v>
      </c>
      <c r="AN24" s="31">
        <v>0</v>
      </c>
      <c r="AO24" s="31">
        <v>0</v>
      </c>
      <c r="AP24" s="31">
        <v>0</v>
      </c>
      <c r="AQ24" s="31">
        <v>493</v>
      </c>
      <c r="AR24" s="31">
        <v>0</v>
      </c>
      <c r="AS24" s="31">
        <v>0</v>
      </c>
      <c r="AU24" s="32">
        <v>82.778999999999996</v>
      </c>
      <c r="AV24" s="32">
        <v>84.037999999999997</v>
      </c>
      <c r="AW24" s="32">
        <v>1419.7070000000001</v>
      </c>
      <c r="AX24" s="32">
        <v>-193.7432</v>
      </c>
      <c r="AY24" s="32">
        <v>784.42049999999995</v>
      </c>
      <c r="BA24" s="34">
        <v>2.6047250000000002</v>
      </c>
      <c r="BB24" s="34">
        <v>0.72467000000000004</v>
      </c>
      <c r="BC24" s="34">
        <v>3.67845E-4</v>
      </c>
      <c r="BD24" s="34">
        <v>4.1428329999999998E-6</v>
      </c>
      <c r="BE24" s="34">
        <v>-4.240199E-9</v>
      </c>
      <c r="BF24" s="35">
        <v>1.3734054999999999E-12</v>
      </c>
      <c r="BG24" s="34">
        <v>0.32758799999999999</v>
      </c>
    </row>
    <row r="25" spans="1:59" ht="13.5">
      <c r="A25" s="31">
        <v>22</v>
      </c>
      <c r="B25" s="31" t="s">
        <v>126</v>
      </c>
      <c r="C25" s="31" t="s">
        <v>127</v>
      </c>
      <c r="D25" s="31">
        <v>128.25800000000001</v>
      </c>
      <c r="E25" s="31">
        <v>2290</v>
      </c>
      <c r="F25" s="31">
        <v>594.64</v>
      </c>
      <c r="G25" s="31">
        <v>0.54800000000000004</v>
      </c>
      <c r="H25" s="31">
        <v>0.44369999999999998</v>
      </c>
      <c r="I25" s="31">
        <v>96.540999999999997</v>
      </c>
      <c r="J25" s="31">
        <v>0.61299999999999999</v>
      </c>
      <c r="K25" s="31">
        <v>0.71</v>
      </c>
      <c r="L25" s="31">
        <v>0.73499999999999999</v>
      </c>
      <c r="M25" s="31">
        <v>0.62209999999999999</v>
      </c>
      <c r="N25" s="31">
        <v>0.53849999999999998</v>
      </c>
      <c r="O25" s="31">
        <v>0.51480000000000004</v>
      </c>
      <c r="P25" s="31">
        <v>6171.15</v>
      </c>
      <c r="Q25" s="31">
        <v>5730.99</v>
      </c>
      <c r="R25" s="31">
        <v>0</v>
      </c>
      <c r="S25" s="31">
        <v>0</v>
      </c>
      <c r="T25" s="31">
        <v>0</v>
      </c>
      <c r="U25" s="31">
        <v>0</v>
      </c>
      <c r="V25" s="31">
        <v>0</v>
      </c>
      <c r="W25" s="31">
        <v>0</v>
      </c>
      <c r="X25" s="31">
        <v>0</v>
      </c>
      <c r="Y25" s="31">
        <v>0</v>
      </c>
      <c r="Z25" s="31">
        <v>0</v>
      </c>
      <c r="AA25" s="31">
        <v>14</v>
      </c>
      <c r="AB25" s="31">
        <v>9</v>
      </c>
      <c r="AC25" s="31">
        <v>10</v>
      </c>
      <c r="AD25" s="31">
        <v>0</v>
      </c>
      <c r="AE25" s="31">
        <v>0.85</v>
      </c>
      <c r="AF25" s="31">
        <v>5.6</v>
      </c>
      <c r="AG25" s="31">
        <v>266</v>
      </c>
      <c r="AH25" s="31">
        <v>0.83020000000000005</v>
      </c>
      <c r="AI25" s="31">
        <v>-229.02999</v>
      </c>
      <c r="AJ25" s="31">
        <v>25.86</v>
      </c>
      <c r="AK25" s="31">
        <v>423.96998000000002</v>
      </c>
      <c r="AL25" s="31">
        <v>1.1499999999999999</v>
      </c>
      <c r="AM25" s="31">
        <v>15</v>
      </c>
      <c r="AN25" s="31">
        <v>0</v>
      </c>
      <c r="AO25" s="31">
        <v>0</v>
      </c>
      <c r="AP25" s="31">
        <v>0</v>
      </c>
      <c r="AQ25" s="31">
        <v>477.99997999999999</v>
      </c>
      <c r="AR25" s="31">
        <v>0</v>
      </c>
      <c r="AS25" s="31">
        <v>0</v>
      </c>
      <c r="AU25" s="32">
        <v>90.781000000000006</v>
      </c>
      <c r="AV25" s="32">
        <v>112.36499999999999</v>
      </c>
      <c r="AW25" s="32">
        <v>1527.288</v>
      </c>
      <c r="AX25" s="32">
        <v>-207.42529999999999</v>
      </c>
      <c r="AY25" s="32">
        <v>825.72040000000004</v>
      </c>
      <c r="BA25" s="34">
        <v>4.0002779999999998</v>
      </c>
      <c r="BB25" s="34">
        <v>0.70780500000000002</v>
      </c>
      <c r="BC25" s="34">
        <v>4.3804800000000002E-4</v>
      </c>
      <c r="BD25" s="34">
        <v>3.9693420000000002E-6</v>
      </c>
      <c r="BE25" s="34">
        <v>-4.0431580000000001E-9</v>
      </c>
      <c r="BF25" s="35">
        <v>1.2876028000000001E-12</v>
      </c>
      <c r="BG25" s="34">
        <v>0.25726500000000002</v>
      </c>
    </row>
    <row r="26" spans="1:59" ht="13.5">
      <c r="A26" s="31">
        <v>23</v>
      </c>
      <c r="B26" s="31" t="s">
        <v>128</v>
      </c>
      <c r="C26" s="31" t="s">
        <v>129</v>
      </c>
      <c r="D26" s="31">
        <v>142.285</v>
      </c>
      <c r="E26" s="31">
        <v>2100</v>
      </c>
      <c r="F26" s="31">
        <v>617.70000000000005</v>
      </c>
      <c r="G26" s="31">
        <v>0.60299999999999998</v>
      </c>
      <c r="H26" s="31">
        <v>0.49020000000000002</v>
      </c>
      <c r="I26" s="31">
        <v>106.858</v>
      </c>
      <c r="J26" s="31">
        <v>0.434</v>
      </c>
      <c r="K26" s="31">
        <v>0.58399999999999996</v>
      </c>
      <c r="L26" s="31">
        <v>0.623</v>
      </c>
      <c r="M26" s="31">
        <v>0.75229999999999997</v>
      </c>
      <c r="N26" s="31">
        <v>0.64500000000000002</v>
      </c>
      <c r="O26" s="31">
        <v>0.61399999999999999</v>
      </c>
      <c r="P26" s="31">
        <v>6829.77</v>
      </c>
      <c r="Q26" s="31">
        <v>6345.59</v>
      </c>
      <c r="R26" s="31">
        <v>0</v>
      </c>
      <c r="S26" s="31">
        <v>0</v>
      </c>
      <c r="T26" s="31">
        <v>0</v>
      </c>
      <c r="U26" s="31">
        <v>0</v>
      </c>
      <c r="V26" s="31">
        <v>0</v>
      </c>
      <c r="W26" s="31">
        <v>0</v>
      </c>
      <c r="X26" s="31">
        <v>0</v>
      </c>
      <c r="Y26" s="31">
        <v>0</v>
      </c>
      <c r="Z26" s="31">
        <v>0</v>
      </c>
      <c r="AA26" s="31">
        <v>15.5</v>
      </c>
      <c r="AB26" s="31">
        <v>10</v>
      </c>
      <c r="AC26" s="31">
        <v>11</v>
      </c>
      <c r="AD26" s="31">
        <v>0</v>
      </c>
      <c r="AE26" s="31">
        <v>0.75</v>
      </c>
      <c r="AF26" s="31">
        <v>5.6</v>
      </c>
      <c r="AG26" s="31">
        <v>0</v>
      </c>
      <c r="AH26" s="31">
        <v>0</v>
      </c>
      <c r="AI26" s="31">
        <v>-249.66</v>
      </c>
      <c r="AJ26" s="31">
        <v>34.43</v>
      </c>
      <c r="AK26" s="31">
        <v>447.29998000000001</v>
      </c>
      <c r="AL26" s="31">
        <v>1.1499999999999999</v>
      </c>
      <c r="AM26" s="31">
        <v>15</v>
      </c>
      <c r="AN26" s="31">
        <v>0</v>
      </c>
      <c r="AO26" s="31">
        <v>0</v>
      </c>
      <c r="AP26" s="31">
        <v>0</v>
      </c>
      <c r="AQ26" s="31">
        <v>483.00000999999997</v>
      </c>
      <c r="AR26" s="31">
        <v>0</v>
      </c>
      <c r="AS26" s="31">
        <v>0</v>
      </c>
      <c r="AU26" s="32">
        <v>121.137</v>
      </c>
      <c r="AV26" s="32">
        <v>-74.852999999999994</v>
      </c>
      <c r="AW26" s="32">
        <v>2356.998</v>
      </c>
      <c r="AX26" s="32">
        <v>-320.5222</v>
      </c>
      <c r="AY26" s="32">
        <v>1343.548</v>
      </c>
      <c r="BA26" s="34">
        <v>-6.9620199999999999</v>
      </c>
      <c r="BB26" s="34">
        <v>0.85137499999999999</v>
      </c>
      <c r="BC26" s="34">
        <v>-2.6304099999999999E-4</v>
      </c>
      <c r="BD26" s="34">
        <v>5.5218159999999998E-6</v>
      </c>
      <c r="BE26" s="34">
        <v>1.8885442999999999E-8</v>
      </c>
      <c r="BF26" s="35">
        <v>-4.1244600000000001E-14</v>
      </c>
      <c r="BG26" s="34">
        <v>-0.41244599999999998</v>
      </c>
    </row>
    <row r="27" spans="1:59" ht="13.5">
      <c r="A27" s="31">
        <v>24</v>
      </c>
      <c r="B27" s="31" t="s">
        <v>130</v>
      </c>
      <c r="C27" s="31" t="s">
        <v>131</v>
      </c>
      <c r="D27" s="31">
        <v>156.31200000000001</v>
      </c>
      <c r="E27" s="31">
        <v>1965</v>
      </c>
      <c r="F27" s="31">
        <v>638.73</v>
      </c>
      <c r="G27" s="31">
        <v>0.66</v>
      </c>
      <c r="H27" s="31">
        <v>0.53490000000000004</v>
      </c>
      <c r="I27" s="31">
        <v>117.21299999999999</v>
      </c>
      <c r="J27" s="31">
        <v>0.2112</v>
      </c>
      <c r="K27" s="31">
        <v>0.43190000000000001</v>
      </c>
      <c r="L27" s="31">
        <v>0.48630000000000001</v>
      </c>
      <c r="M27" s="31">
        <v>0</v>
      </c>
      <c r="N27" s="31">
        <v>0</v>
      </c>
      <c r="O27" s="31">
        <v>0</v>
      </c>
      <c r="P27" s="31">
        <v>0</v>
      </c>
      <c r="Q27" s="31">
        <v>0</v>
      </c>
      <c r="R27" s="31">
        <v>0</v>
      </c>
      <c r="S27" s="31">
        <v>0</v>
      </c>
      <c r="T27" s="31">
        <v>0</v>
      </c>
      <c r="U27" s="31">
        <v>0</v>
      </c>
      <c r="V27" s="31">
        <v>0</v>
      </c>
      <c r="W27" s="31">
        <v>0</v>
      </c>
      <c r="X27" s="31">
        <v>0</v>
      </c>
      <c r="Y27" s="31">
        <v>0</v>
      </c>
      <c r="Z27" s="31">
        <v>0</v>
      </c>
      <c r="AA27" s="31">
        <v>17</v>
      </c>
      <c r="AB27" s="31">
        <v>11</v>
      </c>
      <c r="AC27" s="31">
        <v>12</v>
      </c>
      <c r="AD27" s="31">
        <v>0</v>
      </c>
      <c r="AE27" s="31">
        <v>0</v>
      </c>
      <c r="AF27" s="31">
        <v>0</v>
      </c>
      <c r="AG27" s="31">
        <v>0</v>
      </c>
      <c r="AH27" s="31">
        <v>0</v>
      </c>
      <c r="AI27" s="31">
        <v>-270.28998000000001</v>
      </c>
      <c r="AJ27" s="31">
        <v>43.01</v>
      </c>
      <c r="AK27" s="31">
        <v>469.04</v>
      </c>
      <c r="AL27" s="31">
        <v>1.1499999999999999</v>
      </c>
      <c r="AM27" s="31">
        <v>15</v>
      </c>
      <c r="AN27" s="31">
        <v>0</v>
      </c>
      <c r="AO27" s="31">
        <v>0</v>
      </c>
      <c r="AP27" s="31">
        <v>0</v>
      </c>
      <c r="AQ27" s="31">
        <v>0</v>
      </c>
      <c r="AR27" s="31">
        <v>0</v>
      </c>
      <c r="AS27" s="31">
        <v>0</v>
      </c>
      <c r="AU27" s="32">
        <v>-15.603999999999999</v>
      </c>
      <c r="AV27" s="32">
        <v>1085.5778</v>
      </c>
      <c r="AW27" s="32">
        <v>-635.09299999999996</v>
      </c>
      <c r="AX27" s="32">
        <v>16.551500000000001</v>
      </c>
      <c r="AY27" s="32">
        <v>-11.3774</v>
      </c>
      <c r="BA27" s="34">
        <v>65.290564000000003</v>
      </c>
      <c r="BB27" s="34">
        <v>-9.9826999999999999E-2</v>
      </c>
      <c r="BC27" s="34">
        <v>3.4724949999999999E-3</v>
      </c>
      <c r="BD27" s="34">
        <v>-1.354336E-6</v>
      </c>
      <c r="BE27" s="34">
        <v>2.64721E-10</v>
      </c>
      <c r="BF27" s="35">
        <v>-1.4557400000000001E-14</v>
      </c>
      <c r="BG27" s="34">
        <v>3.407959</v>
      </c>
    </row>
    <row r="28" spans="1:59" ht="13.5">
      <c r="A28" s="31">
        <v>25</v>
      </c>
      <c r="B28" s="31" t="s">
        <v>132</v>
      </c>
      <c r="C28" s="31" t="s">
        <v>133</v>
      </c>
      <c r="D28" s="31">
        <v>170.33799999999999</v>
      </c>
      <c r="E28" s="31">
        <v>1820</v>
      </c>
      <c r="F28" s="31">
        <v>658.3</v>
      </c>
      <c r="G28" s="31">
        <v>0.71199999999999997</v>
      </c>
      <c r="H28" s="31">
        <v>0.56220000000000003</v>
      </c>
      <c r="I28" s="31">
        <v>127.51900000000001</v>
      </c>
      <c r="J28" s="31">
        <v>0</v>
      </c>
      <c r="K28" s="31">
        <v>0</v>
      </c>
      <c r="L28" s="31">
        <v>0</v>
      </c>
      <c r="M28" s="31">
        <v>0</v>
      </c>
      <c r="N28" s="31">
        <v>0</v>
      </c>
      <c r="O28" s="31">
        <v>0</v>
      </c>
      <c r="P28" s="31">
        <v>0</v>
      </c>
      <c r="Q28" s="31">
        <v>0</v>
      </c>
      <c r="R28" s="31">
        <v>0</v>
      </c>
      <c r="S28" s="31">
        <v>0</v>
      </c>
      <c r="T28" s="31">
        <v>0</v>
      </c>
      <c r="U28" s="31">
        <v>0</v>
      </c>
      <c r="V28" s="31">
        <v>0</v>
      </c>
      <c r="W28" s="31">
        <v>0</v>
      </c>
      <c r="X28" s="31">
        <v>0</v>
      </c>
      <c r="Y28" s="31">
        <v>0</v>
      </c>
      <c r="Z28" s="31">
        <v>0</v>
      </c>
      <c r="AA28" s="31">
        <v>18.5</v>
      </c>
      <c r="AB28" s="31">
        <v>12</v>
      </c>
      <c r="AC28" s="31">
        <v>13</v>
      </c>
      <c r="AD28" s="31">
        <v>0</v>
      </c>
      <c r="AE28" s="31">
        <v>0.6</v>
      </c>
      <c r="AF28" s="31">
        <v>0</v>
      </c>
      <c r="AG28" s="31">
        <v>0</v>
      </c>
      <c r="AH28" s="31">
        <v>0</v>
      </c>
      <c r="AI28" s="31">
        <v>-290.86998</v>
      </c>
      <c r="AJ28" s="31">
        <v>51.59</v>
      </c>
      <c r="AK28" s="31">
        <v>489.42998</v>
      </c>
      <c r="AL28" s="31">
        <v>1.1499999999999999</v>
      </c>
      <c r="AM28" s="31">
        <v>15</v>
      </c>
      <c r="AN28" s="31">
        <v>0</v>
      </c>
      <c r="AO28" s="31">
        <v>0</v>
      </c>
      <c r="AP28" s="31">
        <v>0</v>
      </c>
      <c r="AQ28" s="31">
        <v>477.99997999999999</v>
      </c>
      <c r="AR28" s="31">
        <v>0</v>
      </c>
      <c r="AS28" s="31">
        <v>0</v>
      </c>
      <c r="AU28" s="32">
        <v>-13.209</v>
      </c>
      <c r="AV28" s="32">
        <v>1165.3258000000001</v>
      </c>
      <c r="AW28" s="32">
        <v>-668.68799999999999</v>
      </c>
      <c r="AX28" s="32">
        <v>16.868500000000001</v>
      </c>
      <c r="AY28" s="32">
        <v>-11.1043</v>
      </c>
      <c r="BA28" s="34">
        <v>60.967390999999999</v>
      </c>
      <c r="BB28" s="34">
        <v>-7.7548000000000006E-2</v>
      </c>
      <c r="BC28" s="34">
        <v>3.420649E-3</v>
      </c>
      <c r="BD28" s="34">
        <v>-1.308559E-6</v>
      </c>
      <c r="BE28" s="34">
        <v>2.47576E-10</v>
      </c>
      <c r="BF28" s="35">
        <v>-1.3037999999999999E-14</v>
      </c>
      <c r="BG28" s="34">
        <v>3.227042</v>
      </c>
    </row>
    <row r="29" spans="1:59" ht="13.5">
      <c r="A29" s="31">
        <v>26</v>
      </c>
      <c r="B29" s="31" t="s">
        <v>134</v>
      </c>
      <c r="C29" s="31" t="s">
        <v>135</v>
      </c>
      <c r="D29" s="31">
        <v>184.36500000000001</v>
      </c>
      <c r="E29" s="31">
        <v>1724</v>
      </c>
      <c r="F29" s="31">
        <v>675.8</v>
      </c>
      <c r="G29" s="31">
        <v>0.77400000000000002</v>
      </c>
      <c r="H29" s="31">
        <v>0.62309999999999999</v>
      </c>
      <c r="I29" s="31">
        <v>137.84899999999999</v>
      </c>
      <c r="J29" s="31">
        <v>0</v>
      </c>
      <c r="K29" s="31">
        <v>0</v>
      </c>
      <c r="L29" s="31">
        <v>0</v>
      </c>
      <c r="M29" s="31">
        <v>0</v>
      </c>
      <c r="N29" s="31">
        <v>0</v>
      </c>
      <c r="O29" s="31">
        <v>0</v>
      </c>
      <c r="P29" s="31">
        <v>0</v>
      </c>
      <c r="Q29" s="31">
        <v>0</v>
      </c>
      <c r="R29" s="31">
        <v>0</v>
      </c>
      <c r="S29" s="31">
        <v>0</v>
      </c>
      <c r="T29" s="31">
        <v>0</v>
      </c>
      <c r="U29" s="31">
        <v>0</v>
      </c>
      <c r="V29" s="31">
        <v>0</v>
      </c>
      <c r="W29" s="31">
        <v>0</v>
      </c>
      <c r="X29" s="31">
        <v>0</v>
      </c>
      <c r="Y29" s="31">
        <v>0</v>
      </c>
      <c r="Z29" s="31">
        <v>0</v>
      </c>
      <c r="AA29" s="31">
        <v>20</v>
      </c>
      <c r="AB29" s="31">
        <v>13</v>
      </c>
      <c r="AC29" s="31">
        <v>14</v>
      </c>
      <c r="AD29" s="31">
        <v>0</v>
      </c>
      <c r="AE29" s="31">
        <v>0</v>
      </c>
      <c r="AF29" s="31">
        <v>0</v>
      </c>
      <c r="AG29" s="31">
        <v>0</v>
      </c>
      <c r="AH29" s="31">
        <v>0</v>
      </c>
      <c r="AI29" s="31">
        <v>-311.50000999999997</v>
      </c>
      <c r="AJ29" s="31">
        <v>60.12</v>
      </c>
      <c r="AK29" s="31">
        <v>508.57996000000003</v>
      </c>
      <c r="AL29" s="31">
        <v>1.1499999999999999</v>
      </c>
      <c r="AM29" s="31">
        <v>15</v>
      </c>
      <c r="AN29" s="31">
        <v>0</v>
      </c>
      <c r="AO29" s="31">
        <v>0</v>
      </c>
      <c r="AP29" s="31">
        <v>0</v>
      </c>
      <c r="AQ29" s="31">
        <v>0</v>
      </c>
      <c r="AR29" s="31">
        <v>0</v>
      </c>
      <c r="AS29" s="31">
        <v>0</v>
      </c>
      <c r="AU29" s="32">
        <v>-17.702000000000002</v>
      </c>
      <c r="AV29" s="32">
        <v>1276.9167</v>
      </c>
      <c r="AW29" s="32">
        <v>-748.46799999999996</v>
      </c>
      <c r="AX29" s="32">
        <v>19.510400000000001</v>
      </c>
      <c r="AY29" s="32">
        <v>-13.4069</v>
      </c>
      <c r="BA29" s="34">
        <v>62.748641999999997</v>
      </c>
      <c r="BB29" s="34">
        <v>-9.6018000000000006E-2</v>
      </c>
      <c r="BC29" s="34">
        <v>3.4630329999999999E-3</v>
      </c>
      <c r="BD29" s="34">
        <v>-1.3532429999999999E-6</v>
      </c>
      <c r="BE29" s="34">
        <v>2.64564E-10</v>
      </c>
      <c r="BF29" s="35">
        <v>-1.4543899999999999E-14</v>
      </c>
      <c r="BG29" s="34">
        <v>3.245905</v>
      </c>
    </row>
    <row r="30" spans="1:59" ht="13.5">
      <c r="A30" s="31">
        <v>27</v>
      </c>
      <c r="B30" s="31" t="s">
        <v>136</v>
      </c>
      <c r="C30" s="31" t="s">
        <v>137</v>
      </c>
      <c r="D30" s="31">
        <v>198.392</v>
      </c>
      <c r="E30" s="31">
        <v>1620</v>
      </c>
      <c r="F30" s="31">
        <v>691.9</v>
      </c>
      <c r="G30" s="31">
        <v>0.83299999999999996</v>
      </c>
      <c r="H30" s="31">
        <v>0.67969999999999997</v>
      </c>
      <c r="I30" s="31">
        <v>148.178</v>
      </c>
      <c r="J30" s="31">
        <v>0</v>
      </c>
      <c r="K30" s="31">
        <v>0</v>
      </c>
      <c r="L30" s="31">
        <v>0</v>
      </c>
      <c r="M30" s="31">
        <v>0</v>
      </c>
      <c r="N30" s="31">
        <v>0</v>
      </c>
      <c r="O30" s="31">
        <v>0</v>
      </c>
      <c r="P30" s="31">
        <v>0</v>
      </c>
      <c r="Q30" s="31">
        <v>0</v>
      </c>
      <c r="R30" s="31">
        <v>0</v>
      </c>
      <c r="S30" s="31">
        <v>0</v>
      </c>
      <c r="T30" s="31">
        <v>0</v>
      </c>
      <c r="U30" s="31">
        <v>0</v>
      </c>
      <c r="V30" s="31">
        <v>0</v>
      </c>
      <c r="W30" s="31">
        <v>0</v>
      </c>
      <c r="X30" s="31">
        <v>0</v>
      </c>
      <c r="Y30" s="31">
        <v>0</v>
      </c>
      <c r="Z30" s="31">
        <v>0</v>
      </c>
      <c r="AA30" s="31">
        <v>21.5</v>
      </c>
      <c r="AB30" s="31">
        <v>14</v>
      </c>
      <c r="AC30" s="31">
        <v>15</v>
      </c>
      <c r="AD30" s="31">
        <v>0</v>
      </c>
      <c r="AE30" s="31">
        <v>0.5</v>
      </c>
      <c r="AF30" s="31">
        <v>0</v>
      </c>
      <c r="AG30" s="31">
        <v>0</v>
      </c>
      <c r="AH30" s="31">
        <v>0</v>
      </c>
      <c r="AI30" s="31">
        <v>-332.12997999999999</v>
      </c>
      <c r="AJ30" s="31">
        <v>68.7</v>
      </c>
      <c r="AK30" s="31">
        <v>526.66997000000003</v>
      </c>
      <c r="AL30" s="31">
        <v>1.1499999999999999</v>
      </c>
      <c r="AM30" s="31">
        <v>15</v>
      </c>
      <c r="AN30" s="31">
        <v>0</v>
      </c>
      <c r="AO30" s="31">
        <v>0</v>
      </c>
      <c r="AP30" s="31">
        <v>0</v>
      </c>
      <c r="AQ30" s="31">
        <v>472.99997999999999</v>
      </c>
      <c r="AR30" s="31">
        <v>0</v>
      </c>
      <c r="AS30" s="31">
        <v>0</v>
      </c>
      <c r="AU30" s="32">
        <v>-18.314</v>
      </c>
      <c r="AV30" s="32">
        <v>1369.7677000000001</v>
      </c>
      <c r="AW30" s="32">
        <v>-800.61500000000001</v>
      </c>
      <c r="AX30" s="32">
        <v>20.7576</v>
      </c>
      <c r="AY30" s="32">
        <v>-14.185700000000001</v>
      </c>
      <c r="BA30" s="34">
        <v>61.655096</v>
      </c>
      <c r="BB30" s="34">
        <v>-9.2312000000000005E-2</v>
      </c>
      <c r="BC30" s="34">
        <v>3.4521920000000002E-3</v>
      </c>
      <c r="BD30" s="34">
        <v>-1.3451810000000001E-7</v>
      </c>
      <c r="BE30" s="34">
        <v>2.6157399999999999E-10</v>
      </c>
      <c r="BF30" s="35">
        <v>-1.43007E-14</v>
      </c>
      <c r="BG30" s="34">
        <v>3.172971</v>
      </c>
    </row>
    <row r="31" spans="1:59" ht="13.5">
      <c r="A31" s="31">
        <v>28</v>
      </c>
      <c r="B31" s="31" t="s">
        <v>138</v>
      </c>
      <c r="C31" s="31" t="s">
        <v>139</v>
      </c>
      <c r="D31" s="31">
        <v>28.053999999999998</v>
      </c>
      <c r="E31" s="31">
        <v>5032</v>
      </c>
      <c r="F31" s="31">
        <v>282.36</v>
      </c>
      <c r="G31" s="31">
        <v>0.129</v>
      </c>
      <c r="H31" s="31">
        <v>8.5599999999999996E-2</v>
      </c>
      <c r="I31" s="31">
        <v>22.623000000000001</v>
      </c>
      <c r="J31" s="31">
        <v>0.99250000000000005</v>
      </c>
      <c r="K31" s="31">
        <v>0.99360000000000004</v>
      </c>
      <c r="L31" s="31">
        <v>0.99399999999999999</v>
      </c>
      <c r="M31" s="31">
        <v>8.6599999999999996E-2</v>
      </c>
      <c r="N31" s="31">
        <v>0.08</v>
      </c>
      <c r="O31" s="31">
        <v>7.7499999999999999E-2</v>
      </c>
      <c r="P31" s="31">
        <v>1411.18</v>
      </c>
      <c r="Q31" s="31">
        <v>1323.15</v>
      </c>
      <c r="R31" s="31">
        <v>0</v>
      </c>
      <c r="S31" s="31">
        <v>0</v>
      </c>
      <c r="T31" s="31">
        <v>0</v>
      </c>
      <c r="U31" s="31">
        <v>0</v>
      </c>
      <c r="V31" s="31">
        <v>0</v>
      </c>
      <c r="W31" s="31">
        <v>0</v>
      </c>
      <c r="X31" s="31">
        <v>0</v>
      </c>
      <c r="Y31" s="31">
        <v>0</v>
      </c>
      <c r="Z31" s="31">
        <v>0</v>
      </c>
      <c r="AA31" s="31">
        <v>3</v>
      </c>
      <c r="AB31" s="31">
        <v>2</v>
      </c>
      <c r="AC31" s="31">
        <v>2</v>
      </c>
      <c r="AD31" s="31">
        <v>0</v>
      </c>
      <c r="AE31" s="31">
        <v>2.7</v>
      </c>
      <c r="AF31" s="31">
        <v>36</v>
      </c>
      <c r="AG31" s="31">
        <v>230</v>
      </c>
      <c r="AH31" s="31">
        <v>0.40660000000000002</v>
      </c>
      <c r="AI31" s="31">
        <v>52.283000000000001</v>
      </c>
      <c r="AJ31" s="31">
        <v>68.123999999999995</v>
      </c>
      <c r="AK31" s="31">
        <v>169.46999</v>
      </c>
      <c r="AL31" s="31">
        <v>1.75</v>
      </c>
      <c r="AM31" s="31">
        <v>2.65</v>
      </c>
      <c r="AN31" s="31">
        <v>256.99999000000003</v>
      </c>
      <c r="AO31" s="31">
        <v>453.99999000000003</v>
      </c>
      <c r="AP31" s="31">
        <v>9.15</v>
      </c>
      <c r="AQ31" s="31">
        <v>763.00000999999997</v>
      </c>
      <c r="AR31" s="31">
        <v>3</v>
      </c>
      <c r="AS31" s="31">
        <v>80</v>
      </c>
      <c r="AU31" s="32">
        <v>17.027000000000001</v>
      </c>
      <c r="AV31" s="32">
        <v>72.311000000000007</v>
      </c>
      <c r="AW31" s="32">
        <v>86.992999999999995</v>
      </c>
      <c r="AX31" s="32">
        <v>-12.3386</v>
      </c>
      <c r="AY31" s="32">
        <v>41.089700000000001</v>
      </c>
      <c r="BA31" s="34">
        <v>60.093536</v>
      </c>
      <c r="BB31" s="34">
        <v>0.60692999999999997</v>
      </c>
      <c r="BC31" s="34">
        <v>1.2887879999999999E-3</v>
      </c>
      <c r="BD31" s="34">
        <v>1.0336360000000001E-6</v>
      </c>
      <c r="BE31" s="34">
        <v>-1.099537E-9</v>
      </c>
      <c r="BF31" s="35">
        <v>2.9293259999999998E-13</v>
      </c>
      <c r="BG31" s="34">
        <v>4.4898530000000001</v>
      </c>
    </row>
    <row r="32" spans="1:59" ht="13.5">
      <c r="A32" s="31">
        <v>29</v>
      </c>
      <c r="B32" s="31" t="s">
        <v>140</v>
      </c>
      <c r="C32" s="31" t="s">
        <v>141</v>
      </c>
      <c r="D32" s="31">
        <v>42.081000000000003</v>
      </c>
      <c r="E32" s="31">
        <v>4610</v>
      </c>
      <c r="F32" s="31">
        <v>364.8</v>
      </c>
      <c r="G32" s="31">
        <v>0.18099999999999999</v>
      </c>
      <c r="H32" s="31">
        <v>0.1477</v>
      </c>
      <c r="I32" s="31">
        <v>33.134999999999998</v>
      </c>
      <c r="J32" s="31">
        <v>0.98099999999999998</v>
      </c>
      <c r="K32" s="31">
        <v>0.98399999999999999</v>
      </c>
      <c r="L32" s="31">
        <v>0.98499999999999999</v>
      </c>
      <c r="M32" s="31">
        <v>0.13780000000000001</v>
      </c>
      <c r="N32" s="31">
        <v>0.1265</v>
      </c>
      <c r="O32" s="31">
        <v>0.1225</v>
      </c>
      <c r="P32" s="31">
        <v>2058.02</v>
      </c>
      <c r="Q32" s="31">
        <v>1925.97</v>
      </c>
      <c r="R32" s="31">
        <v>0</v>
      </c>
      <c r="S32" s="31">
        <v>0</v>
      </c>
      <c r="T32" s="31">
        <v>0</v>
      </c>
      <c r="U32" s="31">
        <v>0</v>
      </c>
      <c r="V32" s="31">
        <v>0</v>
      </c>
      <c r="W32" s="31">
        <v>0</v>
      </c>
      <c r="X32" s="31">
        <v>0</v>
      </c>
      <c r="Y32" s="31">
        <v>0</v>
      </c>
      <c r="Z32" s="31">
        <v>0</v>
      </c>
      <c r="AA32" s="31">
        <v>4.5</v>
      </c>
      <c r="AB32" s="31">
        <v>3</v>
      </c>
      <c r="AC32" s="31">
        <v>3</v>
      </c>
      <c r="AD32" s="31">
        <v>0</v>
      </c>
      <c r="AE32" s="31">
        <v>2.4</v>
      </c>
      <c r="AF32" s="31">
        <v>11</v>
      </c>
      <c r="AG32" s="31">
        <v>303</v>
      </c>
      <c r="AH32" s="31">
        <v>0.46700000000000003</v>
      </c>
      <c r="AI32" s="31">
        <v>20.414000000000001</v>
      </c>
      <c r="AJ32" s="31">
        <v>62.718000000000004</v>
      </c>
      <c r="AK32" s="31">
        <v>225.42999</v>
      </c>
      <c r="AL32" s="31">
        <v>1.25</v>
      </c>
      <c r="AM32" s="31">
        <v>4.8</v>
      </c>
      <c r="AN32" s="31">
        <v>321.99999000000003</v>
      </c>
      <c r="AO32" s="31">
        <v>674.00001999999995</v>
      </c>
      <c r="AP32" s="31">
        <v>7.81</v>
      </c>
      <c r="AQ32" s="31">
        <v>732.99998000000005</v>
      </c>
      <c r="AR32" s="31">
        <v>2.1</v>
      </c>
      <c r="AS32" s="31">
        <v>53</v>
      </c>
      <c r="AU32" s="32">
        <v>5.4279999999999999</v>
      </c>
      <c r="AV32" s="32">
        <v>222.76400000000001</v>
      </c>
      <c r="AW32" s="32">
        <v>-84.709000000000003</v>
      </c>
      <c r="AX32" s="32">
        <v>-0.92949999999999999</v>
      </c>
      <c r="AY32" s="32">
        <v>10.408300000000001</v>
      </c>
      <c r="BA32" s="34">
        <v>66.369990999999999</v>
      </c>
      <c r="BB32" s="34">
        <v>0.128994</v>
      </c>
      <c r="BC32" s="34">
        <v>2.6469100000000001E-3</v>
      </c>
      <c r="BD32" s="34">
        <v>-6.7101900000000001E-7</v>
      </c>
      <c r="BE32" s="34">
        <v>-5.5225000000000002E-11</v>
      </c>
      <c r="BF32" s="35">
        <v>4.9469E-14</v>
      </c>
      <c r="BG32" s="34">
        <v>5.117553</v>
      </c>
    </row>
    <row r="33" spans="1:59" ht="13.5">
      <c r="A33" s="31">
        <v>30</v>
      </c>
      <c r="B33" s="31" t="s">
        <v>142</v>
      </c>
      <c r="C33" s="31" t="s">
        <v>143</v>
      </c>
      <c r="D33" s="31">
        <v>56.107999999999997</v>
      </c>
      <c r="E33" s="31">
        <v>4020</v>
      </c>
      <c r="F33" s="31">
        <v>419.6</v>
      </c>
      <c r="G33" s="31">
        <v>0.24</v>
      </c>
      <c r="H33" s="31">
        <v>0.18740000000000001</v>
      </c>
      <c r="I33" s="31">
        <v>42.57</v>
      </c>
      <c r="J33" s="31">
        <v>0.96499999999999997</v>
      </c>
      <c r="K33" s="31">
        <v>0.97</v>
      </c>
      <c r="L33" s="31">
        <v>0.97199999999999998</v>
      </c>
      <c r="M33" s="31">
        <v>0.18709999999999999</v>
      </c>
      <c r="N33" s="31">
        <v>0.17319999999999999</v>
      </c>
      <c r="O33" s="31">
        <v>0.1673</v>
      </c>
      <c r="P33" s="31">
        <v>2716.82</v>
      </c>
      <c r="Q33" s="31">
        <v>2540.7600000000002</v>
      </c>
      <c r="R33" s="31">
        <v>0</v>
      </c>
      <c r="S33" s="31">
        <v>0</v>
      </c>
      <c r="T33" s="31">
        <v>0</v>
      </c>
      <c r="U33" s="31">
        <v>0</v>
      </c>
      <c r="V33" s="31">
        <v>0</v>
      </c>
      <c r="W33" s="31">
        <v>0</v>
      </c>
      <c r="X33" s="31">
        <v>0</v>
      </c>
      <c r="Y33" s="31">
        <v>0</v>
      </c>
      <c r="Z33" s="31">
        <v>0</v>
      </c>
      <c r="AA33" s="31">
        <v>6</v>
      </c>
      <c r="AB33" s="31">
        <v>4</v>
      </c>
      <c r="AC33" s="31">
        <v>4</v>
      </c>
      <c r="AD33" s="31">
        <v>0</v>
      </c>
      <c r="AE33" s="31">
        <v>1.6</v>
      </c>
      <c r="AF33" s="31">
        <v>10</v>
      </c>
      <c r="AG33" s="31">
        <v>319</v>
      </c>
      <c r="AH33" s="31">
        <v>0.55079999999999996</v>
      </c>
      <c r="AI33" s="31">
        <v>-1.1719999999999999</v>
      </c>
      <c r="AJ33" s="31">
        <v>72.036000000000001</v>
      </c>
      <c r="AK33" s="31">
        <v>266.89999999999998</v>
      </c>
      <c r="AL33" s="31">
        <v>1.5</v>
      </c>
      <c r="AM33" s="31">
        <v>6.8</v>
      </c>
      <c r="AN33" s="31">
        <v>0</v>
      </c>
      <c r="AO33" s="31">
        <v>883.00000999999997</v>
      </c>
      <c r="AP33" s="31">
        <v>0</v>
      </c>
      <c r="AQ33" s="31">
        <v>657.99999000000003</v>
      </c>
      <c r="AR33" s="31">
        <v>1.8</v>
      </c>
      <c r="AS33" s="31">
        <v>58</v>
      </c>
      <c r="AU33" s="32">
        <v>-4.3499999999999996</v>
      </c>
      <c r="AV33" s="32">
        <v>360.54790000000003</v>
      </c>
      <c r="AW33" s="32">
        <v>-214.76400000000001</v>
      </c>
      <c r="AX33" s="32">
        <v>5.8757999999999999</v>
      </c>
      <c r="AY33" s="32">
        <v>-4.3133999999999997</v>
      </c>
      <c r="BA33" s="34">
        <v>76.155332999999999</v>
      </c>
      <c r="BB33" s="34">
        <v>-7.7536999999999995E-2</v>
      </c>
      <c r="BC33" s="34">
        <v>3.213039E-3</v>
      </c>
      <c r="BD33" s="34">
        <v>-1.2759219999999999E-6</v>
      </c>
      <c r="BE33" s="34">
        <v>2.6181300000000002E-10</v>
      </c>
      <c r="BF33" s="35">
        <v>-1.5375499999999999E-14</v>
      </c>
      <c r="BG33" s="34">
        <v>5.1385209999999999</v>
      </c>
    </row>
    <row r="34" spans="1:59">
      <c r="A34" s="31">
        <v>31</v>
      </c>
      <c r="B34" s="31" t="s">
        <v>142</v>
      </c>
      <c r="C34" s="31" t="s">
        <v>144</v>
      </c>
      <c r="D34" s="31">
        <v>56.107999999999997</v>
      </c>
      <c r="E34" s="31">
        <v>4200</v>
      </c>
      <c r="F34" s="31">
        <v>435.58</v>
      </c>
      <c r="G34" s="31">
        <v>0.23400000000000001</v>
      </c>
      <c r="H34" s="31">
        <v>0.2044</v>
      </c>
      <c r="I34" s="31">
        <v>0</v>
      </c>
      <c r="J34" s="31">
        <v>0.96099999999999997</v>
      </c>
      <c r="K34" s="31">
        <v>0.96699999999999997</v>
      </c>
      <c r="L34" s="31">
        <v>0.96899999999999997</v>
      </c>
      <c r="M34" s="31">
        <v>0.19750000000000001</v>
      </c>
      <c r="N34" s="31">
        <v>0.1817</v>
      </c>
      <c r="O34" s="31">
        <v>0.17610000000000001</v>
      </c>
      <c r="P34" s="31">
        <v>2710</v>
      </c>
      <c r="Q34" s="31">
        <v>2533.9</v>
      </c>
      <c r="R34" s="31">
        <v>0</v>
      </c>
      <c r="S34" s="31">
        <v>0</v>
      </c>
      <c r="T34" s="31">
        <v>0</v>
      </c>
      <c r="U34" s="31">
        <v>0</v>
      </c>
      <c r="V34" s="31">
        <v>0</v>
      </c>
      <c r="W34" s="31">
        <v>0</v>
      </c>
      <c r="X34" s="31">
        <v>0</v>
      </c>
      <c r="Y34" s="31">
        <v>0</v>
      </c>
      <c r="Z34" s="31">
        <v>0</v>
      </c>
      <c r="AA34" s="31">
        <v>6</v>
      </c>
      <c r="AB34" s="31">
        <v>4</v>
      </c>
      <c r="AC34" s="31">
        <v>4</v>
      </c>
      <c r="AD34" s="31">
        <v>0</v>
      </c>
      <c r="AE34" s="31">
        <v>0</v>
      </c>
      <c r="AF34" s="31">
        <v>0</v>
      </c>
      <c r="AG34" s="31">
        <v>259</v>
      </c>
      <c r="AH34" s="31">
        <v>0.55079999999999996</v>
      </c>
      <c r="AI34" s="31">
        <v>0</v>
      </c>
      <c r="AJ34" s="31">
        <v>0</v>
      </c>
      <c r="AK34" s="31">
        <v>0</v>
      </c>
      <c r="AL34" s="31">
        <v>0</v>
      </c>
      <c r="AM34" s="31">
        <v>0</v>
      </c>
      <c r="AN34" s="31">
        <v>0</v>
      </c>
      <c r="AO34" s="31">
        <v>0</v>
      </c>
      <c r="AP34" s="31">
        <v>0</v>
      </c>
      <c r="AQ34" s="31">
        <v>0</v>
      </c>
      <c r="AR34" s="31">
        <v>0</v>
      </c>
      <c r="AS34" s="31">
        <v>0</v>
      </c>
      <c r="BA34" s="34">
        <v>101.75191700000001</v>
      </c>
      <c r="BB34" s="34">
        <v>-0.179174</v>
      </c>
      <c r="BC34" s="34">
        <v>3.0403589999999999E-3</v>
      </c>
      <c r="BD34" s="34">
        <v>-9.2824199999999996E-7</v>
      </c>
      <c r="BE34" s="34">
        <v>3.284E-11</v>
      </c>
      <c r="BF34" s="35">
        <v>3.86271E-14</v>
      </c>
      <c r="BG34" s="34">
        <v>5.1385209999999999</v>
      </c>
    </row>
    <row r="35" spans="1:59">
      <c r="A35" s="31">
        <v>32</v>
      </c>
      <c r="B35" s="31" t="s">
        <v>142</v>
      </c>
      <c r="C35" s="31" t="s">
        <v>145</v>
      </c>
      <c r="D35" s="31">
        <v>56.107999999999997</v>
      </c>
      <c r="E35" s="31">
        <v>4100</v>
      </c>
      <c r="F35" s="31">
        <v>428.63</v>
      </c>
      <c r="G35" s="31">
        <v>0.23799999999999999</v>
      </c>
      <c r="H35" s="31">
        <v>0.21379999999999999</v>
      </c>
      <c r="I35" s="31">
        <v>0</v>
      </c>
      <c r="J35" s="31">
        <v>0.96099999999999997</v>
      </c>
      <c r="K35" s="31">
        <v>0.96799999999999997</v>
      </c>
      <c r="L35" s="31">
        <v>0.96899999999999997</v>
      </c>
      <c r="M35" s="31">
        <v>0.19750000000000001</v>
      </c>
      <c r="N35" s="31">
        <v>0.1789</v>
      </c>
      <c r="O35" s="31">
        <v>0.17610000000000001</v>
      </c>
      <c r="P35" s="31">
        <v>2706.4</v>
      </c>
      <c r="Q35" s="31">
        <v>2530.3000000000002</v>
      </c>
      <c r="R35" s="31">
        <v>0</v>
      </c>
      <c r="S35" s="31">
        <v>0</v>
      </c>
      <c r="T35" s="31">
        <v>0</v>
      </c>
      <c r="U35" s="31">
        <v>0</v>
      </c>
      <c r="V35" s="31">
        <v>0</v>
      </c>
      <c r="W35" s="31">
        <v>0</v>
      </c>
      <c r="X35" s="31">
        <v>0</v>
      </c>
      <c r="Y35" s="31">
        <v>0</v>
      </c>
      <c r="Z35" s="31">
        <v>0</v>
      </c>
      <c r="AA35" s="31">
        <v>6</v>
      </c>
      <c r="AB35" s="31">
        <v>4</v>
      </c>
      <c r="AC35" s="31">
        <v>4</v>
      </c>
      <c r="AD35" s="31">
        <v>0</v>
      </c>
      <c r="AE35" s="31">
        <v>0</v>
      </c>
      <c r="AF35" s="31">
        <v>0</v>
      </c>
      <c r="AG35" s="31">
        <v>259</v>
      </c>
      <c r="AH35" s="31">
        <v>0.55079999999999996</v>
      </c>
      <c r="AI35" s="31">
        <v>0</v>
      </c>
      <c r="AJ35" s="31">
        <v>0</v>
      </c>
      <c r="AK35" s="31">
        <v>0</v>
      </c>
      <c r="AL35" s="31">
        <v>0</v>
      </c>
      <c r="AM35" s="31">
        <v>0</v>
      </c>
      <c r="AN35" s="31">
        <v>0</v>
      </c>
      <c r="AO35" s="31">
        <v>0</v>
      </c>
      <c r="AP35" s="31">
        <v>0</v>
      </c>
      <c r="AQ35" s="31">
        <v>0</v>
      </c>
      <c r="AR35" s="31">
        <v>0</v>
      </c>
      <c r="AS35" s="31">
        <v>0</v>
      </c>
      <c r="BA35" s="34">
        <v>40.122264999999999</v>
      </c>
      <c r="BB35" s="34">
        <v>0.15504599999999999</v>
      </c>
      <c r="BC35" s="34">
        <v>2.6762859999999999E-3</v>
      </c>
      <c r="BD35" s="34">
        <v>-7.6024900000000002E-7</v>
      </c>
      <c r="BE35" s="34">
        <v>3.8694199999999999E-11</v>
      </c>
      <c r="BF35" s="35">
        <v>1.9544E-14</v>
      </c>
      <c r="BG35" s="34">
        <v>3.9088799999999999</v>
      </c>
    </row>
    <row r="36" spans="1:59">
      <c r="A36" s="31">
        <v>33</v>
      </c>
      <c r="B36" s="31" t="s">
        <v>142</v>
      </c>
      <c r="C36" s="31" t="s">
        <v>146</v>
      </c>
      <c r="D36" s="31">
        <v>56.107999999999997</v>
      </c>
      <c r="E36" s="31">
        <v>4000</v>
      </c>
      <c r="F36" s="31">
        <v>417.9</v>
      </c>
      <c r="G36" s="31">
        <v>0.23899999999999999</v>
      </c>
      <c r="H36" s="31">
        <v>0.1898</v>
      </c>
      <c r="I36" s="31">
        <v>0</v>
      </c>
      <c r="J36" s="31">
        <v>0.96499999999999997</v>
      </c>
      <c r="K36" s="31">
        <v>0.97099999999999997</v>
      </c>
      <c r="L36" s="31">
        <v>0.97199999999999998</v>
      </c>
      <c r="M36" s="31">
        <v>0.18709999999999999</v>
      </c>
      <c r="N36" s="31">
        <v>0.17030000000000001</v>
      </c>
      <c r="O36" s="31">
        <v>0.1673</v>
      </c>
      <c r="P36" s="31">
        <v>2700.2</v>
      </c>
      <c r="Q36" s="31">
        <v>2524.1</v>
      </c>
      <c r="R36" s="31">
        <v>0</v>
      </c>
      <c r="S36" s="31">
        <v>0</v>
      </c>
      <c r="T36" s="31">
        <v>0</v>
      </c>
      <c r="U36" s="31">
        <v>0</v>
      </c>
      <c r="V36" s="31">
        <v>0</v>
      </c>
      <c r="W36" s="31">
        <v>0</v>
      </c>
      <c r="X36" s="31">
        <v>0</v>
      </c>
      <c r="Y36" s="31">
        <v>0</v>
      </c>
      <c r="Z36" s="31">
        <v>0</v>
      </c>
      <c r="AA36" s="31">
        <v>6</v>
      </c>
      <c r="AB36" s="31">
        <v>4</v>
      </c>
      <c r="AC36" s="31">
        <v>4</v>
      </c>
      <c r="AD36" s="31">
        <v>0</v>
      </c>
      <c r="AE36" s="31">
        <v>0</v>
      </c>
      <c r="AF36" s="31">
        <v>0</v>
      </c>
      <c r="AG36" s="31">
        <v>425</v>
      </c>
      <c r="AH36" s="31">
        <v>0.47760000000000002</v>
      </c>
      <c r="AI36" s="31">
        <v>0</v>
      </c>
      <c r="AJ36" s="31">
        <v>0</v>
      </c>
      <c r="AK36" s="31">
        <v>0</v>
      </c>
      <c r="AL36" s="31">
        <v>0</v>
      </c>
      <c r="AM36" s="31">
        <v>0</v>
      </c>
      <c r="AN36" s="31">
        <v>0</v>
      </c>
      <c r="AO36" s="31">
        <v>0</v>
      </c>
      <c r="AP36" s="31">
        <v>0</v>
      </c>
      <c r="AQ36" s="31">
        <v>0</v>
      </c>
      <c r="AR36" s="31">
        <v>0</v>
      </c>
      <c r="AS36" s="31">
        <v>0</v>
      </c>
      <c r="BA36" s="34">
        <v>34.814312000000001</v>
      </c>
      <c r="BB36" s="34">
        <v>0.13819999999999999</v>
      </c>
      <c r="BC36" s="34">
        <v>2.8506859999999998E-3</v>
      </c>
      <c r="BD36" s="34">
        <v>-9.9475500000000002E-7</v>
      </c>
      <c r="BE36" s="34">
        <v>1.70328E-10</v>
      </c>
      <c r="BF36" s="35">
        <v>-7.6839999999999994E-15</v>
      </c>
      <c r="BG36" s="34">
        <v>3.87616</v>
      </c>
    </row>
    <row r="37" spans="1:59" ht="13.5">
      <c r="A37" s="31">
        <v>34</v>
      </c>
      <c r="B37" s="31" t="s">
        <v>147</v>
      </c>
      <c r="C37" s="31" t="s">
        <v>148</v>
      </c>
      <c r="D37" s="31">
        <v>70.134</v>
      </c>
      <c r="E37" s="31">
        <v>3550</v>
      </c>
      <c r="F37" s="31">
        <v>464.78</v>
      </c>
      <c r="G37" s="31">
        <v>0.30499999999999999</v>
      </c>
      <c r="H37" s="31">
        <v>0.245</v>
      </c>
      <c r="I37" s="31">
        <v>54.460999999999999</v>
      </c>
      <c r="J37" s="31">
        <v>0.93799999999999994</v>
      </c>
      <c r="K37" s="31">
        <v>0.94899999999999995</v>
      </c>
      <c r="L37" s="31">
        <v>0.95199999999999996</v>
      </c>
      <c r="M37" s="31">
        <v>0.249</v>
      </c>
      <c r="N37" s="31">
        <v>0.2258</v>
      </c>
      <c r="O37" s="31">
        <v>0.21909999999999999</v>
      </c>
      <c r="P37" s="31">
        <v>3375.42</v>
      </c>
      <c r="Q37" s="31">
        <v>3155.34</v>
      </c>
      <c r="R37" s="31">
        <v>0</v>
      </c>
      <c r="S37" s="31">
        <v>0</v>
      </c>
      <c r="T37" s="31">
        <v>0</v>
      </c>
      <c r="U37" s="31">
        <v>0</v>
      </c>
      <c r="V37" s="31">
        <v>0</v>
      </c>
      <c r="W37" s="31">
        <v>0</v>
      </c>
      <c r="X37" s="31">
        <v>0</v>
      </c>
      <c r="Y37" s="31">
        <v>0</v>
      </c>
      <c r="Z37" s="31">
        <v>0</v>
      </c>
      <c r="AA37" s="31">
        <v>7.5</v>
      </c>
      <c r="AB37" s="31">
        <v>5</v>
      </c>
      <c r="AC37" s="31">
        <v>5</v>
      </c>
      <c r="AD37" s="31">
        <v>0</v>
      </c>
      <c r="AE37" s="31">
        <v>1.4</v>
      </c>
      <c r="AF37" s="31">
        <v>8.6999999999999993</v>
      </c>
      <c r="AG37" s="31">
        <v>204</v>
      </c>
      <c r="AH37" s="31">
        <v>0.64759999999999995</v>
      </c>
      <c r="AI37" s="31">
        <v>-20.92</v>
      </c>
      <c r="AJ37" s="31">
        <v>78.605000000000004</v>
      </c>
      <c r="AK37" s="31">
        <v>303.10996999999998</v>
      </c>
      <c r="AL37" s="31">
        <v>1.1499999999999999</v>
      </c>
      <c r="AM37" s="31">
        <v>8.8000000000000007</v>
      </c>
      <c r="AN37" s="31">
        <v>0</v>
      </c>
      <c r="AO37" s="31">
        <v>1089.9999700000001</v>
      </c>
      <c r="AP37" s="31">
        <v>0</v>
      </c>
      <c r="AQ37" s="31">
        <v>0</v>
      </c>
      <c r="AR37" s="31">
        <v>0</v>
      </c>
      <c r="AS37" s="31">
        <v>0</v>
      </c>
      <c r="AU37" s="32">
        <v>-2.0190000000000001</v>
      </c>
      <c r="AV37" s="32">
        <v>445.09190000000001</v>
      </c>
      <c r="AW37" s="32">
        <v>-259.24400000000003</v>
      </c>
      <c r="AX37" s="32">
        <v>6.8760000000000003</v>
      </c>
      <c r="AY37" s="32">
        <v>-4.8689</v>
      </c>
      <c r="BA37" s="34">
        <v>70.141856000000004</v>
      </c>
      <c r="BB37" s="34">
        <v>-2.8781000000000001E-2</v>
      </c>
      <c r="BC37" s="34">
        <v>3.1731569999999998E-3</v>
      </c>
      <c r="BD37" s="34">
        <v>-1.232137E-6</v>
      </c>
      <c r="BE37" s="34">
        <v>2.4510299999999999E-10</v>
      </c>
      <c r="BF37" s="35">
        <v>-1.3884699999999999E-14</v>
      </c>
      <c r="BG37" s="34">
        <v>4.3635679999999999</v>
      </c>
    </row>
    <row r="38" spans="1:59">
      <c r="A38" s="31">
        <v>35</v>
      </c>
      <c r="B38" s="31" t="s">
        <v>149</v>
      </c>
      <c r="C38" s="31" t="s">
        <v>150</v>
      </c>
      <c r="D38" s="31">
        <v>40.064999999999998</v>
      </c>
      <c r="E38" s="31">
        <v>5470</v>
      </c>
      <c r="F38" s="31">
        <v>393</v>
      </c>
      <c r="G38" s="31">
        <v>0.16200000000000001</v>
      </c>
      <c r="H38" s="31">
        <v>0.3125</v>
      </c>
      <c r="I38" s="31">
        <v>0</v>
      </c>
      <c r="J38" s="31">
        <v>0.98</v>
      </c>
      <c r="K38" s="31">
        <v>0.98299999999999998</v>
      </c>
      <c r="L38" s="31">
        <v>0.98399999999999999</v>
      </c>
      <c r="M38" s="31">
        <v>0.1414</v>
      </c>
      <c r="N38" s="31">
        <v>0.13039999999999999</v>
      </c>
      <c r="O38" s="31">
        <v>0.1265</v>
      </c>
      <c r="P38" s="31">
        <v>1943.11</v>
      </c>
      <c r="Q38" s="31">
        <v>1855.08</v>
      </c>
      <c r="R38" s="31">
        <v>0</v>
      </c>
      <c r="S38" s="31">
        <v>0</v>
      </c>
      <c r="T38" s="31">
        <v>0</v>
      </c>
      <c r="U38" s="31">
        <v>0</v>
      </c>
      <c r="V38" s="31">
        <v>0</v>
      </c>
      <c r="W38" s="31">
        <v>0</v>
      </c>
      <c r="X38" s="31">
        <v>0</v>
      </c>
      <c r="Y38" s="31">
        <v>0</v>
      </c>
      <c r="Z38" s="31">
        <v>0</v>
      </c>
      <c r="AA38" s="31">
        <v>4</v>
      </c>
      <c r="AB38" s="31">
        <v>3</v>
      </c>
      <c r="AC38" s="31">
        <v>2</v>
      </c>
      <c r="AD38" s="31">
        <v>0</v>
      </c>
      <c r="AE38" s="31">
        <v>0</v>
      </c>
      <c r="AF38" s="31">
        <v>0</v>
      </c>
      <c r="AG38" s="31">
        <v>194.9</v>
      </c>
      <c r="AH38" s="31">
        <v>0.64300000000000002</v>
      </c>
      <c r="AI38" s="31">
        <v>0</v>
      </c>
      <c r="AJ38" s="31">
        <v>0</v>
      </c>
      <c r="AK38" s="31">
        <v>0</v>
      </c>
      <c r="AL38" s="31">
        <v>0</v>
      </c>
      <c r="AM38" s="31">
        <v>0</v>
      </c>
      <c r="AN38" s="31">
        <v>0</v>
      </c>
      <c r="AO38" s="31">
        <v>0</v>
      </c>
      <c r="AP38" s="31">
        <v>0</v>
      </c>
      <c r="AQ38" s="31">
        <v>0</v>
      </c>
      <c r="AR38" s="31">
        <v>0</v>
      </c>
      <c r="AS38" s="31">
        <v>0</v>
      </c>
      <c r="BA38" s="34">
        <v>58.930117000000003</v>
      </c>
      <c r="BB38" s="34">
        <v>0.14128399999999999</v>
      </c>
      <c r="BC38" s="34">
        <v>2.7998400000000001E-3</v>
      </c>
      <c r="BD38" s="34">
        <v>-1.441451E-6</v>
      </c>
      <c r="BE38" s="34">
        <v>4.5529300000000001E-10</v>
      </c>
      <c r="BF38" s="35">
        <v>-6.3071900000000002E-14</v>
      </c>
      <c r="BG38" s="34">
        <v>4.795585</v>
      </c>
    </row>
    <row r="39" spans="1:59" ht="13.5">
      <c r="A39" s="31">
        <v>36</v>
      </c>
      <c r="B39" s="31" t="s">
        <v>151</v>
      </c>
      <c r="C39" s="31" t="s">
        <v>152</v>
      </c>
      <c r="D39" s="31">
        <v>54.091999999999999</v>
      </c>
      <c r="E39" s="31">
        <v>4500</v>
      </c>
      <c r="F39" s="31">
        <v>444</v>
      </c>
      <c r="G39" s="31">
        <v>0.219</v>
      </c>
      <c r="H39" s="31">
        <v>0.33939999999999998</v>
      </c>
      <c r="I39" s="31">
        <v>35.948</v>
      </c>
      <c r="J39" s="31">
        <v>0.95499999999999996</v>
      </c>
      <c r="K39" s="31">
        <v>0.96299999999999997</v>
      </c>
      <c r="L39" s="31">
        <v>0.96499999999999997</v>
      </c>
      <c r="M39" s="31">
        <v>0.21210000000000001</v>
      </c>
      <c r="N39" s="31">
        <v>0.19239999999999999</v>
      </c>
      <c r="O39" s="31">
        <v>0.18709999999999999</v>
      </c>
      <c r="P39" s="31">
        <v>2593.79</v>
      </c>
      <c r="Q39" s="31">
        <v>2461.7399999999998</v>
      </c>
      <c r="R39" s="31">
        <v>0</v>
      </c>
      <c r="S39" s="31">
        <v>0</v>
      </c>
      <c r="T39" s="31">
        <v>0</v>
      </c>
      <c r="U39" s="31">
        <v>0</v>
      </c>
      <c r="V39" s="31">
        <v>0</v>
      </c>
      <c r="W39" s="31">
        <v>0</v>
      </c>
      <c r="X39" s="31">
        <v>0</v>
      </c>
      <c r="Y39" s="31">
        <v>0</v>
      </c>
      <c r="Z39" s="31">
        <v>0</v>
      </c>
      <c r="AA39" s="31">
        <v>5.5</v>
      </c>
      <c r="AB39" s="31">
        <v>4</v>
      </c>
      <c r="AC39" s="31">
        <v>3</v>
      </c>
      <c r="AD39" s="31">
        <v>0</v>
      </c>
      <c r="AE39" s="31">
        <v>0</v>
      </c>
      <c r="AF39" s="31">
        <v>0</v>
      </c>
      <c r="AG39" s="31">
        <v>0</v>
      </c>
      <c r="AH39" s="31">
        <v>0</v>
      </c>
      <c r="AI39" s="31">
        <v>-162.29999000000001</v>
      </c>
      <c r="AJ39" s="31">
        <v>198.44999000000001</v>
      </c>
      <c r="AK39" s="31">
        <v>284</v>
      </c>
      <c r="AL39" s="31">
        <v>2.7</v>
      </c>
      <c r="AM39" s="31">
        <v>6.1</v>
      </c>
      <c r="AN39" s="31">
        <v>0</v>
      </c>
      <c r="AO39" s="31">
        <v>0</v>
      </c>
      <c r="AP39" s="31">
        <v>0</v>
      </c>
      <c r="AQ39" s="31">
        <v>0</v>
      </c>
      <c r="AR39" s="31">
        <v>0</v>
      </c>
      <c r="AS39" s="31">
        <v>0</v>
      </c>
      <c r="AU39" s="32">
        <v>8.9589999999999996</v>
      </c>
      <c r="AV39" s="32">
        <v>283.70389999999998</v>
      </c>
      <c r="AW39" s="32">
        <v>-166.43199999999999</v>
      </c>
      <c r="AX39" s="32">
        <v>4.4397000000000002</v>
      </c>
      <c r="AY39" s="32">
        <v>-3.1518999999999999</v>
      </c>
      <c r="BA39" s="34">
        <v>41.071739999999998</v>
      </c>
      <c r="BB39" s="34">
        <v>0.165629</v>
      </c>
      <c r="BC39" s="34">
        <v>2.6224709999999999E-3</v>
      </c>
      <c r="BD39" s="34">
        <v>-1.0256279999999999E-6</v>
      </c>
      <c r="BE39" s="34">
        <v>2.0519800000000001E-10</v>
      </c>
      <c r="BF39" s="35">
        <v>-1.16539E-14</v>
      </c>
      <c r="BG39" s="34">
        <v>4.0436480000000001</v>
      </c>
    </row>
    <row r="40" spans="1:59">
      <c r="A40" s="31">
        <v>37</v>
      </c>
      <c r="B40" s="31" t="s">
        <v>151</v>
      </c>
      <c r="C40" s="31" t="s">
        <v>153</v>
      </c>
      <c r="D40" s="31">
        <v>54.091999999999999</v>
      </c>
      <c r="E40" s="31">
        <v>4330</v>
      </c>
      <c r="F40" s="31">
        <v>425</v>
      </c>
      <c r="G40" s="31">
        <v>0.221</v>
      </c>
      <c r="H40" s="31">
        <v>0.18140000000000001</v>
      </c>
      <c r="I40" s="31">
        <v>0</v>
      </c>
      <c r="J40" s="31">
        <v>0.96599999999999997</v>
      </c>
      <c r="K40" s="31">
        <v>0.97099999999999997</v>
      </c>
      <c r="L40" s="31">
        <v>0.97299999999999998</v>
      </c>
      <c r="M40" s="31">
        <v>0.18440000000000001</v>
      </c>
      <c r="N40" s="31">
        <v>0.17030000000000001</v>
      </c>
      <c r="O40" s="31">
        <v>0.1643</v>
      </c>
      <c r="P40" s="31">
        <v>2540.77</v>
      </c>
      <c r="Q40" s="31">
        <v>2408.7199999999998</v>
      </c>
      <c r="R40" s="31">
        <v>0</v>
      </c>
      <c r="S40" s="31">
        <v>0</v>
      </c>
      <c r="T40" s="31">
        <v>0</v>
      </c>
      <c r="U40" s="31">
        <v>0</v>
      </c>
      <c r="V40" s="31">
        <v>0</v>
      </c>
      <c r="W40" s="31">
        <v>0</v>
      </c>
      <c r="X40" s="31">
        <v>0</v>
      </c>
      <c r="Y40" s="31">
        <v>0</v>
      </c>
      <c r="Z40" s="31">
        <v>0</v>
      </c>
      <c r="AA40" s="31">
        <v>5.5</v>
      </c>
      <c r="AB40" s="31">
        <v>4</v>
      </c>
      <c r="AC40" s="31">
        <v>3</v>
      </c>
      <c r="AD40" s="31">
        <v>0</v>
      </c>
      <c r="AE40" s="31">
        <v>0</v>
      </c>
      <c r="AF40" s="31">
        <v>0</v>
      </c>
      <c r="AG40" s="31">
        <v>0</v>
      </c>
      <c r="AH40" s="31">
        <v>0</v>
      </c>
      <c r="AI40" s="31">
        <v>0</v>
      </c>
      <c r="AJ40" s="31">
        <v>0</v>
      </c>
      <c r="AK40" s="31">
        <v>0</v>
      </c>
      <c r="AL40" s="31">
        <v>0</v>
      </c>
      <c r="AM40" s="31">
        <v>0</v>
      </c>
      <c r="AN40" s="31">
        <v>0</v>
      </c>
      <c r="AO40" s="31">
        <v>0</v>
      </c>
      <c r="AP40" s="31">
        <v>0</v>
      </c>
      <c r="AQ40" s="31">
        <v>0</v>
      </c>
      <c r="AR40" s="31">
        <v>0</v>
      </c>
      <c r="AS40" s="31">
        <v>0</v>
      </c>
      <c r="BA40" s="34">
        <v>94.816692000000003</v>
      </c>
      <c r="BB40" s="34">
        <v>-0.421207</v>
      </c>
      <c r="BC40" s="34">
        <v>4.2593860000000004E-3</v>
      </c>
      <c r="BD40" s="34">
        <v>-2.8805269999999999E-6</v>
      </c>
      <c r="BE40" s="34">
        <v>1.179493E-9</v>
      </c>
      <c r="BF40" s="35">
        <v>-2.082612E-13</v>
      </c>
      <c r="BG40" s="34">
        <v>6.3622040000000002</v>
      </c>
    </row>
    <row r="41" spans="1:59">
      <c r="A41" s="31">
        <v>38</v>
      </c>
      <c r="B41" s="31" t="s">
        <v>154</v>
      </c>
      <c r="C41" s="31" t="s">
        <v>155</v>
      </c>
      <c r="D41" s="31">
        <v>26.038</v>
      </c>
      <c r="E41" s="31">
        <v>6139</v>
      </c>
      <c r="F41" s="31">
        <v>308.32</v>
      </c>
      <c r="G41" s="31">
        <v>0.113</v>
      </c>
      <c r="H41" s="31">
        <v>0.18410000000000001</v>
      </c>
      <c r="I41" s="31">
        <v>0</v>
      </c>
      <c r="J41" s="31">
        <v>0.99099999999999999</v>
      </c>
      <c r="K41" s="31">
        <v>0.99299999999999999</v>
      </c>
      <c r="L41" s="31">
        <v>0.99299999999999999</v>
      </c>
      <c r="M41" s="31">
        <v>9.4899999999999998E-2</v>
      </c>
      <c r="N41" s="31">
        <v>8.3699999999999997E-2</v>
      </c>
      <c r="O41" s="31">
        <v>8.3699999999999997E-2</v>
      </c>
      <c r="P41" s="31">
        <v>1301.05</v>
      </c>
      <c r="Q41" s="31">
        <v>1257.03</v>
      </c>
      <c r="R41" s="31">
        <v>0</v>
      </c>
      <c r="S41" s="31">
        <v>0</v>
      </c>
      <c r="T41" s="31">
        <v>0</v>
      </c>
      <c r="U41" s="31">
        <v>0</v>
      </c>
      <c r="V41" s="31">
        <v>0</v>
      </c>
      <c r="W41" s="31">
        <v>0</v>
      </c>
      <c r="X41" s="31">
        <v>0</v>
      </c>
      <c r="Y41" s="31">
        <v>0</v>
      </c>
      <c r="Z41" s="31">
        <v>0</v>
      </c>
      <c r="AA41" s="31">
        <v>2.5</v>
      </c>
      <c r="AB41" s="31">
        <v>2</v>
      </c>
      <c r="AC41" s="31">
        <v>1</v>
      </c>
      <c r="AD41" s="31">
        <v>0</v>
      </c>
      <c r="AE41" s="31">
        <v>0</v>
      </c>
      <c r="AF41" s="31">
        <v>0</v>
      </c>
      <c r="AG41" s="31">
        <v>212</v>
      </c>
      <c r="AH41" s="31">
        <v>0.41139999999999999</v>
      </c>
      <c r="AI41" s="31">
        <v>0</v>
      </c>
      <c r="AJ41" s="31">
        <v>0</v>
      </c>
      <c r="AK41" s="31">
        <v>0</v>
      </c>
      <c r="AL41" s="31">
        <v>0</v>
      </c>
      <c r="AM41" s="31">
        <v>0</v>
      </c>
      <c r="AN41" s="31">
        <v>0</v>
      </c>
      <c r="AO41" s="31">
        <v>0</v>
      </c>
      <c r="AP41" s="31">
        <v>0</v>
      </c>
      <c r="AQ41" s="31">
        <v>0</v>
      </c>
      <c r="AR41" s="31">
        <v>0</v>
      </c>
      <c r="AS41" s="31">
        <v>0</v>
      </c>
      <c r="BA41" s="34">
        <v>81.982823999999994</v>
      </c>
      <c r="BB41" s="34">
        <v>9.4772999999999996E-2</v>
      </c>
      <c r="BC41" s="34">
        <v>4.114197E-3</v>
      </c>
      <c r="BD41" s="34">
        <v>-4.0377670000000003E-6</v>
      </c>
      <c r="BE41" s="34">
        <v>2.1336920000000001E-9</v>
      </c>
      <c r="BF41" s="35">
        <v>-4.415085E-13</v>
      </c>
      <c r="BG41" s="34">
        <v>6.1901089999999996</v>
      </c>
    </row>
    <row r="42" spans="1:59">
      <c r="A42" s="31">
        <v>39</v>
      </c>
      <c r="B42" s="31" t="s">
        <v>149</v>
      </c>
      <c r="C42" s="31" t="s">
        <v>156</v>
      </c>
      <c r="D42" s="31">
        <v>40.064999999999998</v>
      </c>
      <c r="E42" s="31">
        <v>5628</v>
      </c>
      <c r="F42" s="31">
        <v>402.39</v>
      </c>
      <c r="G42" s="31">
        <v>0.16400000000000001</v>
      </c>
      <c r="H42" s="31">
        <v>0.21759999999999999</v>
      </c>
      <c r="I42" s="31">
        <v>0</v>
      </c>
      <c r="J42" s="31">
        <v>0.99729999999999996</v>
      </c>
      <c r="K42" s="31">
        <v>0.98099999999999998</v>
      </c>
      <c r="L42" s="31">
        <v>0.98199999999999998</v>
      </c>
      <c r="M42" s="31">
        <v>0</v>
      </c>
      <c r="N42" s="31">
        <v>0</v>
      </c>
      <c r="O42" s="31">
        <v>0</v>
      </c>
      <c r="P42" s="31">
        <v>0</v>
      </c>
      <c r="Q42" s="31">
        <v>0</v>
      </c>
      <c r="R42" s="31">
        <v>0</v>
      </c>
      <c r="S42" s="31">
        <v>0</v>
      </c>
      <c r="T42" s="31">
        <v>0</v>
      </c>
      <c r="U42" s="31">
        <v>0</v>
      </c>
      <c r="V42" s="31">
        <v>0</v>
      </c>
      <c r="W42" s="31">
        <v>0</v>
      </c>
      <c r="X42" s="31">
        <v>0</v>
      </c>
      <c r="Y42" s="31">
        <v>0</v>
      </c>
      <c r="Z42" s="31">
        <v>0</v>
      </c>
      <c r="AA42" s="31">
        <v>4</v>
      </c>
      <c r="AB42" s="31">
        <v>3</v>
      </c>
      <c r="AC42" s="31">
        <v>2</v>
      </c>
      <c r="AD42" s="31">
        <v>0</v>
      </c>
      <c r="AE42" s="31">
        <v>0</v>
      </c>
      <c r="AF42" s="31">
        <v>0</v>
      </c>
      <c r="AG42" s="31">
        <v>261</v>
      </c>
      <c r="AH42" s="31">
        <v>0.47420000000000001</v>
      </c>
      <c r="AI42" s="31">
        <v>0</v>
      </c>
      <c r="AJ42" s="31">
        <v>0</v>
      </c>
      <c r="AK42" s="31">
        <v>0</v>
      </c>
      <c r="AL42" s="31">
        <v>0</v>
      </c>
      <c r="AM42" s="31">
        <v>0</v>
      </c>
      <c r="AN42" s="31">
        <v>0</v>
      </c>
      <c r="AO42" s="31">
        <v>0</v>
      </c>
      <c r="AP42" s="31">
        <v>0</v>
      </c>
      <c r="AQ42" s="31">
        <v>0</v>
      </c>
      <c r="AR42" s="31">
        <v>0</v>
      </c>
      <c r="AS42" s="31">
        <v>0</v>
      </c>
      <c r="BA42" s="34">
        <v>35.379460000000002</v>
      </c>
      <c r="BB42" s="34">
        <v>0.33656399999999997</v>
      </c>
      <c r="BC42" s="34">
        <v>2.441791E-3</v>
      </c>
      <c r="BD42" s="34">
        <v>-1.1933949999999999E-6</v>
      </c>
      <c r="BE42" s="34">
        <v>3.9047E-10</v>
      </c>
      <c r="BF42" s="35">
        <v>-6.1574899999999998E-14</v>
      </c>
      <c r="BG42" s="34">
        <v>3.9703189999999999</v>
      </c>
    </row>
    <row r="43" spans="1:59" ht="13.5">
      <c r="A43" s="31">
        <v>40</v>
      </c>
      <c r="B43" s="31" t="s">
        <v>151</v>
      </c>
      <c r="C43" s="31" t="s">
        <v>157</v>
      </c>
      <c r="D43" s="31">
        <v>54.091999999999999</v>
      </c>
      <c r="E43" s="31">
        <v>4712</v>
      </c>
      <c r="F43" s="31">
        <v>463.7</v>
      </c>
      <c r="G43" s="31">
        <v>0.221</v>
      </c>
      <c r="H43" s="31">
        <v>0.05</v>
      </c>
      <c r="I43" s="31">
        <v>36.046999999999997</v>
      </c>
      <c r="J43" s="31">
        <v>0.96519999999999995</v>
      </c>
      <c r="K43" s="31">
        <v>0.97040000000000004</v>
      </c>
      <c r="L43" s="31">
        <v>0.9718</v>
      </c>
      <c r="M43" s="31">
        <v>0</v>
      </c>
      <c r="N43" s="31">
        <v>0</v>
      </c>
      <c r="O43" s="31">
        <v>0</v>
      </c>
      <c r="P43" s="31">
        <v>0</v>
      </c>
      <c r="Q43" s="31">
        <v>0</v>
      </c>
      <c r="R43" s="31">
        <v>0</v>
      </c>
      <c r="S43" s="31">
        <v>0</v>
      </c>
      <c r="T43" s="31">
        <v>0</v>
      </c>
      <c r="U43" s="31">
        <v>0</v>
      </c>
      <c r="V43" s="31">
        <v>0</v>
      </c>
      <c r="W43" s="31">
        <v>0</v>
      </c>
      <c r="X43" s="31">
        <v>0</v>
      </c>
      <c r="Y43" s="31">
        <v>0</v>
      </c>
      <c r="Z43" s="31">
        <v>0</v>
      </c>
      <c r="AA43" s="31">
        <v>5.5</v>
      </c>
      <c r="AB43" s="31">
        <v>4</v>
      </c>
      <c r="AC43" s="31">
        <v>3</v>
      </c>
      <c r="AD43" s="31">
        <v>0</v>
      </c>
      <c r="AE43" s="31">
        <v>0</v>
      </c>
      <c r="AF43" s="31">
        <v>0</v>
      </c>
      <c r="AG43" s="31">
        <v>0</v>
      </c>
      <c r="AH43" s="31">
        <v>0</v>
      </c>
      <c r="AI43" s="31">
        <v>-166.10001</v>
      </c>
      <c r="AJ43" s="31">
        <v>203.00997000000001</v>
      </c>
      <c r="AK43" s="31">
        <v>281.21998000000002</v>
      </c>
      <c r="AL43" s="31">
        <v>2.7</v>
      </c>
      <c r="AM43" s="31">
        <v>6.1</v>
      </c>
      <c r="AN43" s="31">
        <v>0</v>
      </c>
      <c r="AO43" s="31">
        <v>0</v>
      </c>
      <c r="AP43" s="31">
        <v>0</v>
      </c>
      <c r="AQ43" s="31">
        <v>0</v>
      </c>
      <c r="AR43" s="31">
        <v>0</v>
      </c>
      <c r="AS43" s="31">
        <v>0</v>
      </c>
      <c r="AU43" s="32">
        <v>12.079000000000001</v>
      </c>
      <c r="AV43" s="32">
        <v>282.17500000000001</v>
      </c>
      <c r="AW43" s="32">
        <v>-176.828</v>
      </c>
      <c r="AX43" s="32">
        <v>5.5617999999999999</v>
      </c>
      <c r="AY43" s="32">
        <v>-6.3475000000000001</v>
      </c>
      <c r="BA43" s="34">
        <v>23.575451999999999</v>
      </c>
      <c r="BB43" s="34">
        <v>0.22330700000000001</v>
      </c>
      <c r="BC43" s="34">
        <v>2.6083360000000002E-3</v>
      </c>
      <c r="BD43" s="34">
        <v>-1.089696E-6</v>
      </c>
      <c r="BE43" s="34">
        <v>2.5705600000000001E-10</v>
      </c>
      <c r="BF43" s="35">
        <v>-2.3469800000000001E-14</v>
      </c>
      <c r="BG43" s="34">
        <v>3.6883620000000001</v>
      </c>
    </row>
    <row r="44" spans="1:59">
      <c r="A44" s="31">
        <v>41</v>
      </c>
      <c r="B44" s="31" t="s">
        <v>147</v>
      </c>
      <c r="C44" s="31" t="s">
        <v>158</v>
      </c>
      <c r="D44" s="31">
        <v>70.134</v>
      </c>
      <c r="E44" s="31">
        <v>4508</v>
      </c>
      <c r="F44" s="31">
        <v>511.8</v>
      </c>
      <c r="G44" s="31">
        <v>0.26</v>
      </c>
      <c r="H44" s="31">
        <v>0.1923</v>
      </c>
      <c r="I44" s="31">
        <v>50.948999999999998</v>
      </c>
      <c r="J44" s="31">
        <v>0.93500000000000005</v>
      </c>
      <c r="K44" s="31">
        <v>0.94699999999999995</v>
      </c>
      <c r="L44" s="31">
        <v>0.95</v>
      </c>
      <c r="M44" s="31">
        <v>0.255</v>
      </c>
      <c r="N44" s="31">
        <v>0.23019999999999999</v>
      </c>
      <c r="O44" s="31">
        <v>0.22359999999999999</v>
      </c>
      <c r="P44" s="31">
        <v>3319.59</v>
      </c>
      <c r="Q44" s="31">
        <v>3099.51</v>
      </c>
      <c r="R44" s="31">
        <v>0</v>
      </c>
      <c r="S44" s="31">
        <v>0</v>
      </c>
      <c r="T44" s="31">
        <v>0</v>
      </c>
      <c r="U44" s="31">
        <v>0</v>
      </c>
      <c r="V44" s="31">
        <v>0</v>
      </c>
      <c r="W44" s="31">
        <v>0</v>
      </c>
      <c r="X44" s="31">
        <v>0</v>
      </c>
      <c r="Y44" s="31">
        <v>0</v>
      </c>
      <c r="Z44" s="31">
        <v>0</v>
      </c>
      <c r="AA44" s="31">
        <v>7.5</v>
      </c>
      <c r="AB44" s="31">
        <v>5</v>
      </c>
      <c r="AC44" s="31">
        <v>5</v>
      </c>
      <c r="AD44" s="31">
        <v>0</v>
      </c>
      <c r="AE44" s="31">
        <v>1.5</v>
      </c>
      <c r="AF44" s="31">
        <v>8.3000000000000007</v>
      </c>
      <c r="AG44" s="31">
        <v>0</v>
      </c>
      <c r="AH44" s="31">
        <v>0</v>
      </c>
      <c r="AI44" s="31">
        <v>-77.03</v>
      </c>
      <c r="AJ44" s="31">
        <v>-38.799999999999997</v>
      </c>
      <c r="AK44" s="31">
        <v>322.39999999999998</v>
      </c>
      <c r="AL44" s="31">
        <v>0</v>
      </c>
      <c r="AM44" s="31">
        <v>8.8000000000000007</v>
      </c>
      <c r="AN44" s="31">
        <v>0</v>
      </c>
      <c r="AO44" s="31">
        <v>537.99998000000005</v>
      </c>
      <c r="AP44" s="31">
        <v>0</v>
      </c>
      <c r="AQ44" s="31">
        <v>634</v>
      </c>
      <c r="AR44" s="31">
        <v>0</v>
      </c>
      <c r="AS44" s="31">
        <v>0</v>
      </c>
      <c r="BA44" s="34">
        <v>134.39627999999999</v>
      </c>
      <c r="BB44" s="34">
        <v>-0.73081799999999997</v>
      </c>
      <c r="BC44" s="34">
        <v>3.676931E-3</v>
      </c>
      <c r="BD44" s="34">
        <v>-1.071943E-6</v>
      </c>
      <c r="BE44" s="34">
        <v>-6.3241000000000002E-11</v>
      </c>
      <c r="BF44" s="35">
        <v>8.2337799999999998E-14</v>
      </c>
      <c r="BG44" s="34">
        <v>7.2952899999999996</v>
      </c>
    </row>
    <row r="45" spans="1:59">
      <c r="A45" s="31">
        <v>42</v>
      </c>
      <c r="B45" s="31" t="s">
        <v>159</v>
      </c>
      <c r="C45" s="31" t="s">
        <v>160</v>
      </c>
      <c r="D45" s="31">
        <v>84.161000000000001</v>
      </c>
      <c r="E45" s="31">
        <v>3784</v>
      </c>
      <c r="F45" s="31">
        <v>532.79</v>
      </c>
      <c r="G45" s="31">
        <v>0.31900000000000001</v>
      </c>
      <c r="H45" s="31">
        <v>0.23949999999999999</v>
      </c>
      <c r="I45" s="31">
        <v>61.332000000000001</v>
      </c>
      <c r="J45" s="31">
        <v>0.90200000000000002</v>
      </c>
      <c r="K45" s="31">
        <v>0.92100000000000004</v>
      </c>
      <c r="L45" s="31">
        <v>0.92700000000000005</v>
      </c>
      <c r="M45" s="31">
        <v>0.313</v>
      </c>
      <c r="N45" s="31">
        <v>0.28110000000000002</v>
      </c>
      <c r="O45" s="31">
        <v>0.2702</v>
      </c>
      <c r="P45" s="31">
        <v>3964.44</v>
      </c>
      <c r="Q45" s="31">
        <v>3705.34</v>
      </c>
      <c r="R45" s="31">
        <v>0</v>
      </c>
      <c r="S45" s="31">
        <v>0</v>
      </c>
      <c r="T45" s="31">
        <v>0</v>
      </c>
      <c r="U45" s="31">
        <v>0</v>
      </c>
      <c r="V45" s="31">
        <v>0</v>
      </c>
      <c r="W45" s="31">
        <v>0</v>
      </c>
      <c r="X45" s="31">
        <v>0</v>
      </c>
      <c r="Y45" s="31">
        <v>0</v>
      </c>
      <c r="Z45" s="31">
        <v>0</v>
      </c>
      <c r="AA45" s="31">
        <v>9</v>
      </c>
      <c r="AB45" s="31">
        <v>6</v>
      </c>
      <c r="AC45" s="31">
        <v>6</v>
      </c>
      <c r="AD45" s="31">
        <v>0</v>
      </c>
      <c r="AE45" s="31">
        <v>0</v>
      </c>
      <c r="AF45" s="31">
        <v>0</v>
      </c>
      <c r="AG45" s="31">
        <v>0</v>
      </c>
      <c r="AH45" s="31">
        <v>0</v>
      </c>
      <c r="AI45" s="31">
        <v>0</v>
      </c>
      <c r="AJ45" s="31">
        <v>0</v>
      </c>
      <c r="AK45" s="31">
        <v>0</v>
      </c>
      <c r="AL45" s="31">
        <v>0</v>
      </c>
      <c r="AM45" s="31">
        <v>0</v>
      </c>
      <c r="AN45" s="31">
        <v>0</v>
      </c>
      <c r="AO45" s="31">
        <v>0</v>
      </c>
      <c r="AP45" s="31">
        <v>0</v>
      </c>
      <c r="AQ45" s="31">
        <v>0</v>
      </c>
      <c r="AR45" s="31">
        <v>0</v>
      </c>
      <c r="AS45" s="31">
        <v>0</v>
      </c>
      <c r="BA45" s="34">
        <v>127.244412</v>
      </c>
      <c r="BB45" s="34">
        <v>-0.68454099999999996</v>
      </c>
      <c r="BC45" s="34">
        <v>4.0056909999999996E-3</v>
      </c>
      <c r="BD45" s="34">
        <v>-1.6817619999999999E-6</v>
      </c>
      <c r="BE45" s="34">
        <v>-3.5783800000000001E-10</v>
      </c>
      <c r="BF45" s="35">
        <v>-2.1873699999999999E-14</v>
      </c>
      <c r="BG45" s="34">
        <v>6.7663960000000003</v>
      </c>
    </row>
    <row r="46" spans="1:59">
      <c r="A46" s="31">
        <v>43</v>
      </c>
      <c r="B46" s="31" t="s">
        <v>161</v>
      </c>
      <c r="C46" s="31" t="s">
        <v>162</v>
      </c>
      <c r="D46" s="31">
        <v>98.188000000000002</v>
      </c>
      <c r="E46" s="31">
        <v>3397</v>
      </c>
      <c r="F46" s="31">
        <v>569.52</v>
      </c>
      <c r="G46" s="31">
        <v>0.375</v>
      </c>
      <c r="H46" s="31">
        <v>0.28260000000000002</v>
      </c>
      <c r="I46" s="31">
        <v>71.509</v>
      </c>
      <c r="J46" s="31">
        <v>0.84099999999999997</v>
      </c>
      <c r="K46" s="31">
        <v>0.876</v>
      </c>
      <c r="L46" s="31">
        <v>0.88500000000000001</v>
      </c>
      <c r="M46" s="31">
        <v>0.3987</v>
      </c>
      <c r="N46" s="31">
        <v>0.35210000000000002</v>
      </c>
      <c r="O46" s="31">
        <v>0.33910000000000001</v>
      </c>
      <c r="P46" s="31">
        <v>4628.47</v>
      </c>
      <c r="Q46" s="31">
        <v>4320.3599999999997</v>
      </c>
      <c r="R46" s="31">
        <v>0</v>
      </c>
      <c r="S46" s="31">
        <v>0</v>
      </c>
      <c r="T46" s="31">
        <v>0</v>
      </c>
      <c r="U46" s="31">
        <v>0</v>
      </c>
      <c r="V46" s="31">
        <v>0</v>
      </c>
      <c r="W46" s="31">
        <v>0</v>
      </c>
      <c r="X46" s="31">
        <v>0</v>
      </c>
      <c r="Y46" s="31">
        <v>0</v>
      </c>
      <c r="Z46" s="31">
        <v>0</v>
      </c>
      <c r="AA46" s="31">
        <v>10.5</v>
      </c>
      <c r="AB46" s="31">
        <v>7</v>
      </c>
      <c r="AC46" s="31">
        <v>7</v>
      </c>
      <c r="AD46" s="31">
        <v>0</v>
      </c>
      <c r="AE46" s="31">
        <v>0</v>
      </c>
      <c r="AF46" s="31">
        <v>0</v>
      </c>
      <c r="AG46" s="31">
        <v>0</v>
      </c>
      <c r="AH46" s="31">
        <v>0</v>
      </c>
      <c r="AI46" s="31">
        <v>0</v>
      </c>
      <c r="AJ46" s="31">
        <v>0</v>
      </c>
      <c r="AK46" s="31">
        <v>0</v>
      </c>
      <c r="AL46" s="31">
        <v>0</v>
      </c>
      <c r="AM46" s="31">
        <v>0</v>
      </c>
      <c r="AN46" s="31">
        <v>0</v>
      </c>
      <c r="AO46" s="31">
        <v>0</v>
      </c>
      <c r="AP46" s="31">
        <v>0</v>
      </c>
      <c r="AQ46" s="31">
        <v>0</v>
      </c>
      <c r="AR46" s="31">
        <v>0</v>
      </c>
      <c r="AS46" s="31">
        <v>0</v>
      </c>
      <c r="BA46" s="34">
        <v>125.043713</v>
      </c>
      <c r="BB46" s="34">
        <v>-0.63829599999999997</v>
      </c>
      <c r="BC46" s="34">
        <v>3.978395E-3</v>
      </c>
      <c r="BD46" s="34">
        <v>-1.671386E-6</v>
      </c>
      <c r="BE46" s="34">
        <v>3.5838700000000002E-10</v>
      </c>
      <c r="BF46" s="35">
        <v>-2.1966000000000001E-14</v>
      </c>
      <c r="BG46" s="34">
        <v>6.3437359999999998</v>
      </c>
    </row>
    <row r="47" spans="1:59" ht="13.5">
      <c r="A47" s="31">
        <v>44</v>
      </c>
      <c r="B47" s="31" t="s">
        <v>159</v>
      </c>
      <c r="C47" s="31" t="s">
        <v>163</v>
      </c>
      <c r="D47" s="31">
        <v>84.161000000000001</v>
      </c>
      <c r="E47" s="31">
        <v>4070</v>
      </c>
      <c r="F47" s="31">
        <v>553.6</v>
      </c>
      <c r="G47" s="31">
        <v>0.308</v>
      </c>
      <c r="H47" s="31">
        <v>0.21440000000000001</v>
      </c>
      <c r="I47" s="31">
        <v>61.216000000000001</v>
      </c>
      <c r="J47" s="31">
        <v>0.89700000000000002</v>
      </c>
      <c r="K47" s="31">
        <v>0.91800000000000004</v>
      </c>
      <c r="L47" s="31">
        <v>0.92400000000000004</v>
      </c>
      <c r="M47" s="31">
        <v>0.32090000000000002</v>
      </c>
      <c r="N47" s="31">
        <v>0.28639999999999999</v>
      </c>
      <c r="O47" s="31">
        <v>0.2757</v>
      </c>
      <c r="P47" s="31">
        <v>3952.96</v>
      </c>
      <c r="Q47" s="31">
        <v>3688.86</v>
      </c>
      <c r="R47" s="31">
        <v>0.89770000000000005</v>
      </c>
      <c r="S47" s="31">
        <v>0.91830000000000001</v>
      </c>
      <c r="T47" s="31">
        <v>0.31979999999999997</v>
      </c>
      <c r="U47" s="31">
        <v>0.2858</v>
      </c>
      <c r="V47" s="31">
        <v>176.36199999999999</v>
      </c>
      <c r="W47" s="31">
        <v>164.58199999999999</v>
      </c>
      <c r="X47" s="31">
        <v>3.7549000000000001</v>
      </c>
      <c r="Y47" s="31">
        <v>3.5592999999999999</v>
      </c>
      <c r="Z47" s="31">
        <v>2.9056999999999999</v>
      </c>
      <c r="AA47" s="31">
        <v>9</v>
      </c>
      <c r="AB47" s="31">
        <v>6</v>
      </c>
      <c r="AC47" s="31">
        <v>6</v>
      </c>
      <c r="AD47" s="31">
        <v>0</v>
      </c>
      <c r="AE47" s="31">
        <v>1.3</v>
      </c>
      <c r="AF47" s="31">
        <v>7.8</v>
      </c>
      <c r="AG47" s="31">
        <v>313</v>
      </c>
      <c r="AH47" s="31">
        <v>0.61429999999999996</v>
      </c>
      <c r="AI47" s="31">
        <v>-123.13999</v>
      </c>
      <c r="AJ47" s="31">
        <v>31.76</v>
      </c>
      <c r="AK47" s="31">
        <v>353.87</v>
      </c>
      <c r="AL47" s="31">
        <v>1.1499999999999999</v>
      </c>
      <c r="AM47" s="31">
        <v>12</v>
      </c>
      <c r="AN47" s="31">
        <v>0</v>
      </c>
      <c r="AO47" s="31">
        <v>0</v>
      </c>
      <c r="AP47" s="31">
        <v>0</v>
      </c>
      <c r="AQ47" s="31">
        <v>518</v>
      </c>
      <c r="AR47" s="31">
        <v>0</v>
      </c>
      <c r="AS47" s="31">
        <v>0</v>
      </c>
      <c r="AU47" s="32">
        <v>-52.801000000000002</v>
      </c>
      <c r="AV47" s="32">
        <v>580.05989999999997</v>
      </c>
      <c r="AW47" s="32">
        <v>-132.68199999999999</v>
      </c>
      <c r="AX47" s="32">
        <v>-14.724</v>
      </c>
      <c r="AY47" s="32">
        <v>70.161100000000005</v>
      </c>
      <c r="BA47" s="34">
        <v>108.312586</v>
      </c>
      <c r="BB47" s="34">
        <v>-0.62738300000000002</v>
      </c>
      <c r="BC47" s="34">
        <v>3.4461320000000002E-3</v>
      </c>
      <c r="BD47" s="34">
        <v>-5.2550699999999997E-7</v>
      </c>
      <c r="BE47" s="34">
        <v>-4.37375E-10</v>
      </c>
      <c r="BF47" s="35">
        <v>1.6673069999999999E-13</v>
      </c>
      <c r="BG47" s="34">
        <v>6.1500810000000001</v>
      </c>
    </row>
    <row r="48" spans="1:59" ht="13.5">
      <c r="A48" s="31">
        <v>45</v>
      </c>
      <c r="B48" s="31" t="s">
        <v>161</v>
      </c>
      <c r="C48" s="31" t="s">
        <v>164</v>
      </c>
      <c r="D48" s="31">
        <v>98.188000000000002</v>
      </c>
      <c r="E48" s="31">
        <v>3471</v>
      </c>
      <c r="F48" s="31">
        <v>572.19000000000005</v>
      </c>
      <c r="G48" s="31">
        <v>0.36799999999999999</v>
      </c>
      <c r="H48" s="31">
        <v>0.23330000000000001</v>
      </c>
      <c r="I48" s="31">
        <v>71.77</v>
      </c>
      <c r="J48" s="31">
        <v>0.85499999999999998</v>
      </c>
      <c r="K48" s="31">
        <v>0.88600000000000001</v>
      </c>
      <c r="L48" s="31">
        <v>0.89400000000000002</v>
      </c>
      <c r="M48" s="31">
        <v>0.38080000000000003</v>
      </c>
      <c r="N48" s="31">
        <v>0.33760000000000001</v>
      </c>
      <c r="O48" s="31">
        <v>0.3256</v>
      </c>
      <c r="P48" s="31">
        <v>4600.6400000000003</v>
      </c>
      <c r="Q48" s="31">
        <v>4292.53</v>
      </c>
      <c r="R48" s="31">
        <v>0.84809999999999997</v>
      </c>
      <c r="S48" s="31">
        <v>0.88109999999999999</v>
      </c>
      <c r="T48" s="31">
        <v>0.38969999999999999</v>
      </c>
      <c r="U48" s="31">
        <v>0.3448</v>
      </c>
      <c r="V48" s="31">
        <v>205.261</v>
      </c>
      <c r="W48" s="31">
        <v>191.517</v>
      </c>
      <c r="X48" s="31">
        <v>4.3795000000000002</v>
      </c>
      <c r="Y48" s="31">
        <v>4.1527000000000003</v>
      </c>
      <c r="Z48" s="31">
        <v>3.39</v>
      </c>
      <c r="AA48" s="31">
        <v>10.5</v>
      </c>
      <c r="AB48" s="31">
        <v>7</v>
      </c>
      <c r="AC48" s="31">
        <v>7</v>
      </c>
      <c r="AD48" s="31">
        <v>0</v>
      </c>
      <c r="AE48" s="31">
        <v>1.1000000000000001</v>
      </c>
      <c r="AF48" s="31">
        <v>6.7</v>
      </c>
      <c r="AG48" s="31">
        <v>0</v>
      </c>
      <c r="AH48" s="31">
        <v>0</v>
      </c>
      <c r="AI48" s="31">
        <v>-154.77000000000001</v>
      </c>
      <c r="AJ48" s="31">
        <v>27.28</v>
      </c>
      <c r="AK48" s="31">
        <v>374.07997</v>
      </c>
      <c r="AL48" s="31">
        <v>1.1499999999999999</v>
      </c>
      <c r="AM48" s="31">
        <v>15</v>
      </c>
      <c r="AN48" s="31">
        <v>0</v>
      </c>
      <c r="AO48" s="31">
        <v>0</v>
      </c>
      <c r="AP48" s="31">
        <v>0</v>
      </c>
      <c r="AQ48" s="31">
        <v>523</v>
      </c>
      <c r="AR48" s="31">
        <v>0</v>
      </c>
      <c r="AS48" s="31">
        <v>0</v>
      </c>
      <c r="AU48" s="32">
        <v>-69.224000000000004</v>
      </c>
      <c r="AV48" s="32">
        <v>805.80190000000005</v>
      </c>
      <c r="AW48" s="32">
        <v>-450.28399999999999</v>
      </c>
      <c r="AX48" s="32">
        <v>7.2032999999999996</v>
      </c>
      <c r="AY48" s="32">
        <v>13.0764</v>
      </c>
      <c r="BA48" s="34">
        <v>107.598271</v>
      </c>
      <c r="BB48" s="34">
        <v>-0.70501400000000003</v>
      </c>
      <c r="BC48" s="34">
        <v>4.103364E-3</v>
      </c>
      <c r="BD48" s="34">
        <v>-1.5286470000000001E-6</v>
      </c>
      <c r="BE48" s="34">
        <v>1.8340699999999999E-10</v>
      </c>
      <c r="BF48" s="35">
        <v>2.66355E-14</v>
      </c>
      <c r="BG48" s="34">
        <v>6.2677100000000001</v>
      </c>
    </row>
    <row r="49" spans="1:59">
      <c r="A49" s="31">
        <v>46</v>
      </c>
      <c r="B49" s="31" t="s">
        <v>165</v>
      </c>
      <c r="C49" s="31" t="s">
        <v>166</v>
      </c>
      <c r="D49" s="31">
        <v>112.215</v>
      </c>
      <c r="E49" s="31">
        <v>3040</v>
      </c>
      <c r="F49" s="31">
        <v>609</v>
      </c>
      <c r="G49" s="31">
        <v>0.45</v>
      </c>
      <c r="H49" s="31">
        <v>0.24260000000000001</v>
      </c>
      <c r="I49" s="31">
        <v>81.867999999999995</v>
      </c>
      <c r="J49" s="31">
        <v>0.77</v>
      </c>
      <c r="K49" s="31">
        <v>0.82399999999999995</v>
      </c>
      <c r="L49" s="31">
        <v>0.83799999999999997</v>
      </c>
      <c r="M49" s="31">
        <v>0.47960000000000003</v>
      </c>
      <c r="N49" s="31">
        <v>0.41949999999999998</v>
      </c>
      <c r="O49" s="31">
        <v>0.40250000000000002</v>
      </c>
      <c r="P49" s="31">
        <v>5263.05</v>
      </c>
      <c r="Q49" s="31">
        <v>4910.92</v>
      </c>
      <c r="R49" s="31">
        <v>0</v>
      </c>
      <c r="S49" s="31">
        <v>0</v>
      </c>
      <c r="T49" s="31">
        <v>0</v>
      </c>
      <c r="U49" s="31">
        <v>0</v>
      </c>
      <c r="V49" s="31">
        <v>0</v>
      </c>
      <c r="W49" s="31">
        <v>0</v>
      </c>
      <c r="X49" s="31">
        <v>0</v>
      </c>
      <c r="Y49" s="31">
        <v>0</v>
      </c>
      <c r="Z49" s="31">
        <v>0</v>
      </c>
      <c r="AA49" s="31">
        <v>12</v>
      </c>
      <c r="AB49" s="31">
        <v>8</v>
      </c>
      <c r="AC49" s="31">
        <v>8</v>
      </c>
      <c r="AD49" s="31">
        <v>0</v>
      </c>
      <c r="AE49" s="31">
        <v>0</v>
      </c>
      <c r="AF49" s="31">
        <v>0</v>
      </c>
      <c r="AG49" s="31">
        <v>0</v>
      </c>
      <c r="AH49" s="31">
        <v>0</v>
      </c>
      <c r="AI49" s="31">
        <v>0</v>
      </c>
      <c r="AJ49" s="31">
        <v>0</v>
      </c>
      <c r="AK49" s="31">
        <v>0</v>
      </c>
      <c r="AL49" s="31">
        <v>0</v>
      </c>
      <c r="AM49" s="31">
        <v>0</v>
      </c>
      <c r="AN49" s="31">
        <v>0</v>
      </c>
      <c r="AO49" s="31">
        <v>0</v>
      </c>
      <c r="AP49" s="31">
        <v>0</v>
      </c>
      <c r="AQ49" s="31">
        <v>0</v>
      </c>
      <c r="AR49" s="31">
        <v>0</v>
      </c>
      <c r="AS49" s="31">
        <v>0</v>
      </c>
      <c r="BA49" s="34">
        <v>60.932524000000001</v>
      </c>
      <c r="BB49" s="34">
        <v>-0.35570299999999999</v>
      </c>
      <c r="BC49" s="34">
        <v>3.2241069999999999E-3</v>
      </c>
      <c r="BD49" s="34">
        <v>-3.84025E-7</v>
      </c>
      <c r="BE49" s="34">
        <v>-5.4131199999999998E-10</v>
      </c>
      <c r="BF49" s="35">
        <v>2.002343E-13</v>
      </c>
      <c r="BG49" s="34">
        <v>4.5839460000000001</v>
      </c>
    </row>
    <row r="50" spans="1:59" ht="13.5">
      <c r="A50" s="31">
        <v>47</v>
      </c>
      <c r="B50" s="31" t="s">
        <v>167</v>
      </c>
      <c r="C50" s="31" t="s">
        <v>168</v>
      </c>
      <c r="D50" s="31">
        <v>78.114000000000004</v>
      </c>
      <c r="E50" s="31">
        <v>4898</v>
      </c>
      <c r="F50" s="31">
        <v>562.16</v>
      </c>
      <c r="G50" s="31">
        <v>0.25900000000000001</v>
      </c>
      <c r="H50" s="31">
        <v>0.21</v>
      </c>
      <c r="I50" s="31">
        <v>58.597000000000001</v>
      </c>
      <c r="J50" s="31">
        <v>0.90900000000000003</v>
      </c>
      <c r="K50" s="31">
        <v>0.92600000000000005</v>
      </c>
      <c r="L50" s="31">
        <v>0.93600000000000005</v>
      </c>
      <c r="M50" s="31">
        <v>0.30170000000000002</v>
      </c>
      <c r="N50" s="31">
        <v>0.27200000000000002</v>
      </c>
      <c r="O50" s="31">
        <v>0.253</v>
      </c>
      <c r="P50" s="31">
        <v>3301.43</v>
      </c>
      <c r="Q50" s="31">
        <v>3169.38</v>
      </c>
      <c r="R50" s="31">
        <v>0.90900000000000003</v>
      </c>
      <c r="S50" s="31">
        <v>0.92769999999999997</v>
      </c>
      <c r="T50" s="31">
        <v>0.30170000000000002</v>
      </c>
      <c r="U50" s="31">
        <v>0.26889999999999997</v>
      </c>
      <c r="V50" s="31">
        <v>147.29900000000001</v>
      </c>
      <c r="W50" s="31">
        <v>141.40799999999999</v>
      </c>
      <c r="X50" s="31">
        <v>3.4851000000000001</v>
      </c>
      <c r="Y50" s="31">
        <v>3.3037000000000001</v>
      </c>
      <c r="Z50" s="31">
        <v>2.6968999999999999</v>
      </c>
      <c r="AA50" s="31">
        <v>7.5</v>
      </c>
      <c r="AB50" s="31">
        <v>6</v>
      </c>
      <c r="AC50" s="31">
        <v>3</v>
      </c>
      <c r="AD50" s="31">
        <v>0</v>
      </c>
      <c r="AE50" s="31">
        <v>1.3</v>
      </c>
      <c r="AF50" s="31">
        <v>7.9</v>
      </c>
      <c r="AG50" s="31">
        <v>335</v>
      </c>
      <c r="AH50" s="31">
        <v>0.56279999999999997</v>
      </c>
      <c r="AI50" s="31">
        <v>-82.927000000000007</v>
      </c>
      <c r="AJ50" s="31">
        <v>129.65792999999999</v>
      </c>
      <c r="AK50" s="31">
        <v>353.23998</v>
      </c>
      <c r="AL50" s="31">
        <v>0.9</v>
      </c>
      <c r="AM50" s="31">
        <v>20</v>
      </c>
      <c r="AN50" s="31">
        <v>0</v>
      </c>
      <c r="AO50" s="31">
        <v>920.00000999999997</v>
      </c>
      <c r="AP50" s="31">
        <v>0</v>
      </c>
      <c r="AQ50" s="31">
        <v>833</v>
      </c>
      <c r="AR50" s="31">
        <v>0</v>
      </c>
      <c r="AS50" s="31">
        <v>0</v>
      </c>
      <c r="AU50" s="32">
        <v>-40.116</v>
      </c>
      <c r="AV50" s="32">
        <v>507.53789999999998</v>
      </c>
      <c r="AW50" s="32">
        <v>-361.79899999999998</v>
      </c>
      <c r="AX50" s="32">
        <v>11.4057</v>
      </c>
      <c r="AY50" s="32">
        <v>-9.6946999999999992</v>
      </c>
      <c r="BA50" s="34">
        <v>84.467061999999999</v>
      </c>
      <c r="BB50" s="34">
        <v>-0.51356000000000002</v>
      </c>
      <c r="BC50" s="34">
        <v>3.24874E-3</v>
      </c>
      <c r="BD50" s="34">
        <v>-1.5439130000000001E-6</v>
      </c>
      <c r="BE50" s="34">
        <v>3.6503699999999999E-10</v>
      </c>
      <c r="BF50" s="35">
        <v>-2.48222E-14</v>
      </c>
      <c r="BG50" s="34">
        <v>5.6310409999999997</v>
      </c>
    </row>
    <row r="51" spans="1:59" ht="13.5">
      <c r="A51" s="31">
        <v>48</v>
      </c>
      <c r="B51" s="31" t="s">
        <v>169</v>
      </c>
      <c r="C51" s="31" t="s">
        <v>170</v>
      </c>
      <c r="D51" s="31">
        <v>92.141000000000005</v>
      </c>
      <c r="E51" s="31">
        <v>4109</v>
      </c>
      <c r="F51" s="31">
        <v>591.79</v>
      </c>
      <c r="G51" s="31">
        <v>0.316</v>
      </c>
      <c r="H51" s="31">
        <v>0.25659999999999999</v>
      </c>
      <c r="I51" s="31">
        <v>69.510999999999996</v>
      </c>
      <c r="J51" s="31">
        <v>0.84899999999999998</v>
      </c>
      <c r="K51" s="31">
        <v>0.88300000000000001</v>
      </c>
      <c r="L51" s="31">
        <v>0.89200000000000002</v>
      </c>
      <c r="M51" s="31">
        <v>0.3886</v>
      </c>
      <c r="N51" s="31">
        <v>0.34210000000000002</v>
      </c>
      <c r="O51" s="31">
        <v>0.3286</v>
      </c>
      <c r="P51" s="31">
        <v>3947.89</v>
      </c>
      <c r="Q51" s="31">
        <v>3771.83</v>
      </c>
      <c r="R51" s="31">
        <v>0.84870000000000001</v>
      </c>
      <c r="S51" s="31">
        <v>0.88239999999999996</v>
      </c>
      <c r="T51" s="31">
        <v>0.3901</v>
      </c>
      <c r="U51" s="31">
        <v>0.34289999999999998</v>
      </c>
      <c r="V51" s="31">
        <v>176.14</v>
      </c>
      <c r="W51" s="31">
        <v>168.285</v>
      </c>
      <c r="X51" s="31">
        <v>4.1109</v>
      </c>
      <c r="Y51" s="31">
        <v>3.8963000000000001</v>
      </c>
      <c r="Z51" s="31">
        <v>3.1812</v>
      </c>
      <c r="AA51" s="31">
        <v>9</v>
      </c>
      <c r="AB51" s="31">
        <v>7</v>
      </c>
      <c r="AC51" s="31">
        <v>4</v>
      </c>
      <c r="AD51" s="31">
        <v>0</v>
      </c>
      <c r="AE51" s="31">
        <v>1.2</v>
      </c>
      <c r="AF51" s="31">
        <v>7.1</v>
      </c>
      <c r="AG51" s="31">
        <v>377</v>
      </c>
      <c r="AH51" s="31">
        <v>0.59319999999999995</v>
      </c>
      <c r="AI51" s="31">
        <v>-50</v>
      </c>
      <c r="AJ51" s="31">
        <v>122.29</v>
      </c>
      <c r="AK51" s="31">
        <v>383.78</v>
      </c>
      <c r="AL51" s="31">
        <v>1.1499999999999999</v>
      </c>
      <c r="AM51" s="31">
        <v>16</v>
      </c>
      <c r="AN51" s="31">
        <v>0</v>
      </c>
      <c r="AO51" s="31">
        <v>0</v>
      </c>
      <c r="AP51" s="31">
        <v>0</v>
      </c>
      <c r="AQ51" s="31">
        <v>753.00001999999995</v>
      </c>
      <c r="AR51" s="31">
        <v>0</v>
      </c>
      <c r="AS51" s="31">
        <v>0</v>
      </c>
      <c r="AU51" s="32">
        <v>-39.021000000000001</v>
      </c>
      <c r="AV51" s="32">
        <v>586.85889999999995</v>
      </c>
      <c r="AW51" s="32">
        <v>-398.00700000000001</v>
      </c>
      <c r="AX51" s="32">
        <v>12.0379</v>
      </c>
      <c r="AY51" s="32">
        <v>-9.8017000000000003</v>
      </c>
      <c r="BA51" s="34">
        <v>74.164254</v>
      </c>
      <c r="BB51" s="34">
        <v>-0.42349900000000001</v>
      </c>
      <c r="BC51" s="34">
        <v>3.184606E-3</v>
      </c>
      <c r="BD51" s="34">
        <v>-1.4398650000000001E-6</v>
      </c>
      <c r="BE51" s="34">
        <v>3.2662000000000001E-10</v>
      </c>
      <c r="BF51" s="35">
        <v>-2.12757E-14</v>
      </c>
      <c r="BG51" s="34">
        <v>5.1674480000000003</v>
      </c>
    </row>
    <row r="52" spans="1:59">
      <c r="A52" s="31">
        <v>49</v>
      </c>
      <c r="B52" s="31" t="s">
        <v>171</v>
      </c>
      <c r="C52" s="31" t="s">
        <v>172</v>
      </c>
      <c r="D52" s="31">
        <v>106.167</v>
      </c>
      <c r="E52" s="31">
        <v>3609</v>
      </c>
      <c r="F52" s="31">
        <v>617.16999999999996</v>
      </c>
      <c r="G52" s="31">
        <v>0.374</v>
      </c>
      <c r="H52" s="31">
        <v>0.30109999999999998</v>
      </c>
      <c r="I52" s="31">
        <v>79.94</v>
      </c>
      <c r="J52" s="31">
        <v>0.76400000000000001</v>
      </c>
      <c r="K52" s="31">
        <v>0.82299999999999995</v>
      </c>
      <c r="L52" s="31">
        <v>0.83699999999999997</v>
      </c>
      <c r="M52" s="31">
        <v>0.48580000000000001</v>
      </c>
      <c r="N52" s="31">
        <v>0.42070000000000002</v>
      </c>
      <c r="O52" s="31">
        <v>0.4037</v>
      </c>
      <c r="P52" s="31">
        <v>4607.1499999999996</v>
      </c>
      <c r="Q52" s="31">
        <v>4387.07</v>
      </c>
      <c r="R52" s="31">
        <v>0</v>
      </c>
      <c r="S52" s="31">
        <v>0</v>
      </c>
      <c r="T52" s="31">
        <v>0</v>
      </c>
      <c r="U52" s="31">
        <v>0</v>
      </c>
      <c r="V52" s="31">
        <v>0</v>
      </c>
      <c r="W52" s="31">
        <v>0</v>
      </c>
      <c r="X52" s="31">
        <v>0</v>
      </c>
      <c r="Y52" s="31">
        <v>0</v>
      </c>
      <c r="Z52" s="31">
        <v>0</v>
      </c>
      <c r="AA52" s="31">
        <v>10.5</v>
      </c>
      <c r="AB52" s="31">
        <v>8</v>
      </c>
      <c r="AC52" s="31">
        <v>5</v>
      </c>
      <c r="AD52" s="31">
        <v>0</v>
      </c>
      <c r="AE52" s="31">
        <v>0</v>
      </c>
      <c r="AF52" s="31">
        <v>0</v>
      </c>
      <c r="AG52" s="31">
        <v>0</v>
      </c>
      <c r="AH52" s="31">
        <v>0</v>
      </c>
      <c r="AI52" s="31">
        <v>0</v>
      </c>
      <c r="AJ52" s="31">
        <v>0</v>
      </c>
      <c r="AK52" s="31">
        <v>0</v>
      </c>
      <c r="AL52" s="31">
        <v>0</v>
      </c>
      <c r="AM52" s="31">
        <v>0</v>
      </c>
      <c r="AN52" s="31">
        <v>0</v>
      </c>
      <c r="AO52" s="31">
        <v>0</v>
      </c>
      <c r="AP52" s="31">
        <v>0</v>
      </c>
      <c r="AQ52" s="31">
        <v>0</v>
      </c>
      <c r="AR52" s="31">
        <v>0</v>
      </c>
      <c r="AS52" s="31">
        <v>0</v>
      </c>
      <c r="BA52" s="34">
        <v>70.553906999999995</v>
      </c>
      <c r="BB52" s="34">
        <v>-0.39202199999999998</v>
      </c>
      <c r="BC52" s="34">
        <v>3.308891E-3</v>
      </c>
      <c r="BD52" s="34">
        <v>-1.5278509999999999E-6</v>
      </c>
      <c r="BE52" s="34">
        <v>3.5605799999999999E-10</v>
      </c>
      <c r="BF52" s="35">
        <v>-2.38744E-14</v>
      </c>
      <c r="BG52" s="34">
        <v>4.8493649999999997</v>
      </c>
    </row>
    <row r="53" spans="1:59" ht="13.5">
      <c r="A53" s="31">
        <v>50</v>
      </c>
      <c r="B53" s="31" t="s">
        <v>171</v>
      </c>
      <c r="C53" s="31" t="s">
        <v>173</v>
      </c>
      <c r="D53" s="31">
        <v>106.167</v>
      </c>
      <c r="E53" s="31">
        <v>3733</v>
      </c>
      <c r="F53" s="31">
        <v>630.4</v>
      </c>
      <c r="G53" s="31">
        <v>0.36899999999999999</v>
      </c>
      <c r="H53" s="31">
        <v>0.31359999999999999</v>
      </c>
      <c r="I53" s="31">
        <v>80.183000000000007</v>
      </c>
      <c r="J53" s="31">
        <v>0.73699999999999999</v>
      </c>
      <c r="K53" s="31">
        <v>0.80400000000000005</v>
      </c>
      <c r="L53" s="31">
        <v>0.82099999999999995</v>
      </c>
      <c r="M53" s="31">
        <v>0.51280000000000003</v>
      </c>
      <c r="N53" s="31">
        <v>0.44269999999999998</v>
      </c>
      <c r="O53" s="31">
        <v>0.42309999999999998</v>
      </c>
      <c r="P53" s="31">
        <v>4596.3100000000004</v>
      </c>
      <c r="Q53" s="31">
        <v>4376.2299999999996</v>
      </c>
      <c r="R53" s="31">
        <v>0</v>
      </c>
      <c r="S53" s="31">
        <v>0</v>
      </c>
      <c r="T53" s="31">
        <v>0</v>
      </c>
      <c r="U53" s="31">
        <v>0</v>
      </c>
      <c r="V53" s="31">
        <v>0</v>
      </c>
      <c r="W53" s="31">
        <v>0</v>
      </c>
      <c r="X53" s="31">
        <v>0</v>
      </c>
      <c r="Y53" s="31">
        <v>0</v>
      </c>
      <c r="Z53" s="31">
        <v>0</v>
      </c>
      <c r="AA53" s="31">
        <v>10.5</v>
      </c>
      <c r="AB53" s="31">
        <v>8</v>
      </c>
      <c r="AC53" s="31">
        <v>5</v>
      </c>
      <c r="AD53" s="31">
        <v>0</v>
      </c>
      <c r="AE53" s="31">
        <v>1.1000000000000001</v>
      </c>
      <c r="AF53" s="31">
        <v>6.4</v>
      </c>
      <c r="AG53" s="31">
        <v>0</v>
      </c>
      <c r="AH53" s="31">
        <v>0</v>
      </c>
      <c r="AI53" s="31">
        <v>-18.995000000000001</v>
      </c>
      <c r="AJ53" s="31">
        <v>122.07701</v>
      </c>
      <c r="AK53" s="31">
        <v>417.57997</v>
      </c>
      <c r="AL53" s="31">
        <v>1.1499999999999999</v>
      </c>
      <c r="AM53" s="31">
        <v>15</v>
      </c>
      <c r="AN53" s="31">
        <v>0</v>
      </c>
      <c r="AO53" s="31">
        <v>0</v>
      </c>
      <c r="AP53" s="31">
        <v>0</v>
      </c>
      <c r="AQ53" s="31">
        <v>703</v>
      </c>
      <c r="AR53" s="31">
        <v>0</v>
      </c>
      <c r="AS53" s="31">
        <v>0</v>
      </c>
      <c r="AU53" s="32">
        <v>-6.6449999999999996</v>
      </c>
      <c r="AV53" s="32">
        <v>534.85590000000002</v>
      </c>
      <c r="AW53" s="32">
        <v>-209.15</v>
      </c>
      <c r="AX53" s="32">
        <v>-4.7717000000000001</v>
      </c>
      <c r="AY53" s="32">
        <v>39.792499999999997</v>
      </c>
      <c r="BA53" s="34">
        <v>32.516503</v>
      </c>
      <c r="BB53" s="34">
        <v>-6.2590999999999994E-2</v>
      </c>
      <c r="BC53" s="34">
        <v>2.5189359999999998E-3</v>
      </c>
      <c r="BD53" s="34">
        <v>-6.5666899999999999E-7</v>
      </c>
      <c r="BE53" s="34">
        <v>-1.12362E-10</v>
      </c>
      <c r="BF53" s="35">
        <v>7.4962100000000004E-14</v>
      </c>
      <c r="BG53" s="34">
        <v>3.2710240000000002</v>
      </c>
    </row>
    <row r="54" spans="1:59">
      <c r="A54" s="31">
        <v>51</v>
      </c>
      <c r="B54" s="31" t="s">
        <v>171</v>
      </c>
      <c r="C54" s="31" t="s">
        <v>174</v>
      </c>
      <c r="D54" s="31">
        <v>106.167</v>
      </c>
      <c r="E54" s="31">
        <v>3541</v>
      </c>
      <c r="F54" s="31">
        <v>617.1</v>
      </c>
      <c r="G54" s="31">
        <v>0.376</v>
      </c>
      <c r="H54" s="31">
        <v>0.33110000000000001</v>
      </c>
      <c r="I54" s="31">
        <v>80.400999999999996</v>
      </c>
      <c r="J54" s="31">
        <v>0.74560000000000004</v>
      </c>
      <c r="K54" s="31">
        <v>0.80940000000000001</v>
      </c>
      <c r="L54" s="31">
        <v>0.82550000000000001</v>
      </c>
      <c r="M54" s="31">
        <v>0.51280000000000003</v>
      </c>
      <c r="N54" s="31">
        <v>0.44269999999999998</v>
      </c>
      <c r="O54" s="31">
        <v>0.42309999999999998</v>
      </c>
      <c r="P54" s="31">
        <v>4596.3100000000004</v>
      </c>
      <c r="Q54" s="31">
        <v>4376.2299999999996</v>
      </c>
      <c r="R54" s="31">
        <v>0</v>
      </c>
      <c r="S54" s="31">
        <v>0</v>
      </c>
      <c r="T54" s="31">
        <v>0</v>
      </c>
      <c r="U54" s="31">
        <v>0</v>
      </c>
      <c r="V54" s="31">
        <v>0</v>
      </c>
      <c r="W54" s="31">
        <v>0</v>
      </c>
      <c r="X54" s="31">
        <v>0</v>
      </c>
      <c r="Y54" s="31">
        <v>0</v>
      </c>
      <c r="Z54" s="31">
        <v>0</v>
      </c>
      <c r="AA54" s="31">
        <v>10.5</v>
      </c>
      <c r="AB54" s="31">
        <v>8</v>
      </c>
      <c r="AC54" s="31">
        <v>5</v>
      </c>
      <c r="AD54" s="31">
        <v>0</v>
      </c>
      <c r="AE54" s="31">
        <v>1.1000000000000001</v>
      </c>
      <c r="AF54" s="31">
        <v>6.4</v>
      </c>
      <c r="AG54" s="31">
        <v>0</v>
      </c>
      <c r="AH54" s="31">
        <v>0</v>
      </c>
      <c r="AI54" s="31">
        <v>-18.995000000000001</v>
      </c>
      <c r="AJ54" s="31">
        <v>122.07701</v>
      </c>
      <c r="AK54" s="31">
        <v>417.57997</v>
      </c>
      <c r="AL54" s="31">
        <v>1.1499999999999999</v>
      </c>
      <c r="AM54" s="31">
        <v>15</v>
      </c>
      <c r="AN54" s="31">
        <v>0</v>
      </c>
      <c r="AO54" s="31">
        <v>0</v>
      </c>
      <c r="AP54" s="31">
        <v>0</v>
      </c>
      <c r="AQ54" s="31">
        <v>703</v>
      </c>
      <c r="AR54" s="31">
        <v>0</v>
      </c>
      <c r="AS54" s="31">
        <v>0</v>
      </c>
      <c r="BA54" s="34">
        <v>59.286529999999999</v>
      </c>
      <c r="BB54" s="34">
        <v>-0.28848099999999999</v>
      </c>
      <c r="BC54" s="34">
        <v>3.0107300000000001E-3</v>
      </c>
      <c r="BD54" s="34">
        <v>-1.254453E-6</v>
      </c>
      <c r="BE54" s="34">
        <v>2.5877199999999999E-10</v>
      </c>
      <c r="BF54" s="35">
        <v>-1.5174999999999999E-14</v>
      </c>
      <c r="BG54" s="34">
        <v>4.3790959999999997</v>
      </c>
    </row>
    <row r="55" spans="1:59">
      <c r="A55" s="31">
        <v>52</v>
      </c>
      <c r="B55" s="31" t="s">
        <v>171</v>
      </c>
      <c r="C55" s="31" t="s">
        <v>175</v>
      </c>
      <c r="D55" s="31">
        <v>106.167</v>
      </c>
      <c r="E55" s="31">
        <v>3511</v>
      </c>
      <c r="F55" s="31">
        <v>616.29999999999995</v>
      </c>
      <c r="G55" s="31">
        <v>0.379</v>
      </c>
      <c r="H55" s="31">
        <v>0.32429999999999998</v>
      </c>
      <c r="I55" s="31">
        <v>80.498000000000005</v>
      </c>
      <c r="J55" s="31">
        <v>0.74860000000000004</v>
      </c>
      <c r="K55" s="31">
        <v>0.81130000000000002</v>
      </c>
      <c r="L55" s="31">
        <v>0.82709999999999995</v>
      </c>
      <c r="M55" s="31">
        <v>0.51280000000000003</v>
      </c>
      <c r="N55" s="31">
        <v>0.44269999999999998</v>
      </c>
      <c r="O55" s="31">
        <v>0.42309999999999998</v>
      </c>
      <c r="P55" s="31">
        <v>4596.3100000000004</v>
      </c>
      <c r="Q55" s="31">
        <v>4376.2299999999996</v>
      </c>
      <c r="R55" s="31">
        <v>0</v>
      </c>
      <c r="S55" s="31">
        <v>0</v>
      </c>
      <c r="T55" s="31">
        <v>0</v>
      </c>
      <c r="U55" s="31">
        <v>0</v>
      </c>
      <c r="V55" s="31">
        <v>0</v>
      </c>
      <c r="W55" s="31">
        <v>0</v>
      </c>
      <c r="X55" s="31">
        <v>0</v>
      </c>
      <c r="Y55" s="31">
        <v>0</v>
      </c>
      <c r="Z55" s="31">
        <v>0</v>
      </c>
      <c r="AA55" s="31">
        <v>10.5</v>
      </c>
      <c r="AB55" s="31">
        <v>8</v>
      </c>
      <c r="AC55" s="31">
        <v>5</v>
      </c>
      <c r="AD55" s="31">
        <v>0</v>
      </c>
      <c r="AE55" s="31">
        <v>1.1000000000000001</v>
      </c>
      <c r="AF55" s="31">
        <v>6.4</v>
      </c>
      <c r="AG55" s="31">
        <v>0</v>
      </c>
      <c r="AH55" s="31">
        <v>0</v>
      </c>
      <c r="AI55" s="31">
        <v>-18.995000000000001</v>
      </c>
      <c r="AJ55" s="31">
        <v>122.07701</v>
      </c>
      <c r="AK55" s="31">
        <v>417.57997</v>
      </c>
      <c r="AL55" s="31">
        <v>1.1499999999999999</v>
      </c>
      <c r="AM55" s="31">
        <v>15</v>
      </c>
      <c r="AN55" s="31">
        <v>0</v>
      </c>
      <c r="AO55" s="31">
        <v>0</v>
      </c>
      <c r="AP55" s="31">
        <v>0</v>
      </c>
      <c r="AQ55" s="31">
        <v>703</v>
      </c>
      <c r="AR55" s="31">
        <v>0</v>
      </c>
      <c r="AS55" s="31">
        <v>0</v>
      </c>
      <c r="BA55" s="34">
        <v>43.042513999999997</v>
      </c>
      <c r="BB55" s="34">
        <v>-0.12598000000000001</v>
      </c>
      <c r="BC55" s="34">
        <v>2.4873529999999999E-3</v>
      </c>
      <c r="BD55" s="34">
        <v>-5.3495200000000001E-7</v>
      </c>
      <c r="BE55" s="34">
        <v>-2.0050699999999999E-10</v>
      </c>
      <c r="BF55" s="35">
        <v>9.5517000000000003E-14</v>
      </c>
      <c r="BG55" s="34">
        <v>3.6340819999999998</v>
      </c>
    </row>
    <row r="56" spans="1:59" ht="13.5">
      <c r="A56" s="31">
        <v>53</v>
      </c>
      <c r="B56" s="31" t="s">
        <v>176</v>
      </c>
      <c r="C56" s="31" t="s">
        <v>177</v>
      </c>
      <c r="D56" s="31">
        <v>32.042000000000002</v>
      </c>
      <c r="E56" s="31">
        <v>8094.4</v>
      </c>
      <c r="F56" s="31">
        <v>512.6</v>
      </c>
      <c r="G56" s="31">
        <v>0.11799999999999999</v>
      </c>
      <c r="H56" s="31">
        <v>0.55600000000000005</v>
      </c>
      <c r="I56" s="31">
        <v>17.972999999999999</v>
      </c>
      <c r="J56" s="31">
        <v>0.77300000000000002</v>
      </c>
      <c r="K56" s="31">
        <v>0.872</v>
      </c>
      <c r="L56" s="31">
        <v>0.89200000000000002</v>
      </c>
      <c r="M56" s="31">
        <v>0.47639999999999999</v>
      </c>
      <c r="N56" s="31">
        <v>0.35780000000000001</v>
      </c>
      <c r="O56" s="31">
        <v>0.3286</v>
      </c>
      <c r="P56" s="31">
        <v>764.09</v>
      </c>
      <c r="Q56" s="31">
        <v>676.06</v>
      </c>
      <c r="R56" s="31">
        <v>0</v>
      </c>
      <c r="S56" s="31">
        <v>0</v>
      </c>
      <c r="T56" s="31">
        <v>0</v>
      </c>
      <c r="U56" s="31">
        <v>0</v>
      </c>
      <c r="V56" s="31">
        <v>0</v>
      </c>
      <c r="W56" s="31">
        <v>0</v>
      </c>
      <c r="X56" s="31">
        <v>0</v>
      </c>
      <c r="Y56" s="31">
        <v>0</v>
      </c>
      <c r="Z56" s="31">
        <v>0</v>
      </c>
      <c r="AA56" s="31">
        <v>1.5</v>
      </c>
      <c r="AB56" s="31">
        <v>1</v>
      </c>
      <c r="AC56" s="31">
        <v>2</v>
      </c>
      <c r="AD56" s="31">
        <v>0</v>
      </c>
      <c r="AE56" s="31">
        <v>6.7</v>
      </c>
      <c r="AF56" s="31">
        <v>36</v>
      </c>
      <c r="AG56" s="31">
        <v>452</v>
      </c>
      <c r="AH56" s="31">
        <v>0.36659999999999998</v>
      </c>
      <c r="AI56" s="31">
        <v>-201.16998000000001</v>
      </c>
      <c r="AJ56" s="31">
        <v>-162.50997000000001</v>
      </c>
      <c r="AK56" s="31">
        <v>337.84996999999998</v>
      </c>
      <c r="AL56" s="31">
        <v>0</v>
      </c>
      <c r="AM56" s="31">
        <v>0</v>
      </c>
      <c r="AN56" s="31">
        <v>0</v>
      </c>
      <c r="AO56" s="31">
        <v>0</v>
      </c>
      <c r="AP56" s="31">
        <v>0</v>
      </c>
      <c r="AQ56" s="31">
        <v>657.99999000000003</v>
      </c>
      <c r="AR56" s="31">
        <v>0</v>
      </c>
      <c r="AS56" s="31">
        <v>0</v>
      </c>
      <c r="AU56" s="32">
        <v>21.138000000000002</v>
      </c>
      <c r="AV56" s="32">
        <v>70.876999999999995</v>
      </c>
      <c r="AW56" s="32">
        <v>25.853000000000002</v>
      </c>
      <c r="AX56" s="32">
        <v>-2.8496999999999999</v>
      </c>
      <c r="AY56" s="32">
        <v>0</v>
      </c>
      <c r="BA56" s="34">
        <v>0</v>
      </c>
      <c r="BB56" s="34">
        <v>0</v>
      </c>
      <c r="BC56" s="34">
        <v>0</v>
      </c>
      <c r="BD56" s="34">
        <v>0</v>
      </c>
      <c r="BE56" s="34">
        <v>0</v>
      </c>
      <c r="BF56" s="35">
        <v>0</v>
      </c>
      <c r="BG56" s="34">
        <v>0</v>
      </c>
    </row>
    <row r="57" spans="1:59" ht="13.5">
      <c r="A57" s="31">
        <v>54</v>
      </c>
      <c r="B57" s="31" t="s">
        <v>178</v>
      </c>
      <c r="C57" s="31" t="s">
        <v>179</v>
      </c>
      <c r="D57" s="31">
        <v>46.069000000000003</v>
      </c>
      <c r="E57" s="31">
        <v>6379.7</v>
      </c>
      <c r="F57" s="31">
        <v>516.29999999999995</v>
      </c>
      <c r="G57" s="31">
        <v>0.16700000000000001</v>
      </c>
      <c r="H57" s="31">
        <v>0.64400000000000002</v>
      </c>
      <c r="I57" s="31">
        <v>28.332999999999998</v>
      </c>
      <c r="J57" s="31">
        <v>0.9163</v>
      </c>
      <c r="K57" s="31">
        <v>0.93520000000000003</v>
      </c>
      <c r="L57" s="31">
        <v>0.94020000000000004</v>
      </c>
      <c r="M57" s="31">
        <v>0</v>
      </c>
      <c r="N57" s="31">
        <v>0</v>
      </c>
      <c r="O57" s="31">
        <v>0</v>
      </c>
      <c r="P57" s="31">
        <v>0</v>
      </c>
      <c r="Q57" s="31">
        <v>0</v>
      </c>
      <c r="R57" s="31">
        <v>0</v>
      </c>
      <c r="S57" s="31">
        <v>0</v>
      </c>
      <c r="T57" s="31">
        <v>0</v>
      </c>
      <c r="U57" s="31">
        <v>0</v>
      </c>
      <c r="V57" s="31">
        <v>0</v>
      </c>
      <c r="W57" s="31">
        <v>0</v>
      </c>
      <c r="X57" s="31">
        <v>0</v>
      </c>
      <c r="Y57" s="31">
        <v>0</v>
      </c>
      <c r="Z57" s="31">
        <v>0</v>
      </c>
      <c r="AA57" s="31">
        <v>3</v>
      </c>
      <c r="AB57" s="31">
        <v>2</v>
      </c>
      <c r="AC57" s="31">
        <v>3</v>
      </c>
      <c r="AD57" s="31">
        <v>0</v>
      </c>
      <c r="AE57" s="31">
        <v>3.3</v>
      </c>
      <c r="AF57" s="31">
        <v>19</v>
      </c>
      <c r="AG57" s="31">
        <v>415</v>
      </c>
      <c r="AH57" s="31">
        <v>0.437</v>
      </c>
      <c r="AI57" s="31">
        <v>-234.80999</v>
      </c>
      <c r="AJ57" s="31">
        <v>-168.28</v>
      </c>
      <c r="AK57" s="31">
        <v>351.44000999999997</v>
      </c>
      <c r="AL57" s="31">
        <v>0</v>
      </c>
      <c r="AM57" s="31">
        <v>0</v>
      </c>
      <c r="AN57" s="31">
        <v>0</v>
      </c>
      <c r="AO57" s="31">
        <v>0</v>
      </c>
      <c r="AP57" s="31">
        <v>0</v>
      </c>
      <c r="AQ57" s="31">
        <v>638.00000999999997</v>
      </c>
      <c r="AR57" s="31">
        <v>0</v>
      </c>
      <c r="AS57" s="31">
        <v>0</v>
      </c>
      <c r="AU57" s="32">
        <v>9.0079999999999991</v>
      </c>
      <c r="AV57" s="32">
        <v>213.928</v>
      </c>
      <c r="AW57" s="32">
        <v>-83.846999999999994</v>
      </c>
      <c r="AX57" s="32">
        <v>0.13719999999999999</v>
      </c>
      <c r="AY57" s="32">
        <v>0</v>
      </c>
      <c r="BA57" s="34">
        <v>0</v>
      </c>
      <c r="BB57" s="34">
        <v>0</v>
      </c>
      <c r="BC57" s="34">
        <v>0</v>
      </c>
      <c r="BD57" s="34">
        <v>0</v>
      </c>
      <c r="BE57" s="34">
        <v>0</v>
      </c>
      <c r="BF57" s="35">
        <v>0</v>
      </c>
      <c r="BG57" s="34">
        <v>0</v>
      </c>
    </row>
    <row r="58" spans="1:59" ht="13.5">
      <c r="A58" s="31">
        <v>55</v>
      </c>
      <c r="B58" s="31" t="s">
        <v>180</v>
      </c>
      <c r="C58" s="31" t="s">
        <v>181</v>
      </c>
      <c r="D58" s="31">
        <v>48.109000000000002</v>
      </c>
      <c r="E58" s="31">
        <v>7233</v>
      </c>
      <c r="F58" s="31">
        <v>470</v>
      </c>
      <c r="G58" s="31">
        <v>0.14499999999999999</v>
      </c>
      <c r="H58" s="31">
        <v>0.153</v>
      </c>
      <c r="I58" s="31">
        <v>32.420999999999999</v>
      </c>
      <c r="J58" s="31">
        <v>0.97199999999999998</v>
      </c>
      <c r="K58" s="31">
        <v>0.97699999999999998</v>
      </c>
      <c r="L58" s="31">
        <v>0.97799999999999998</v>
      </c>
      <c r="M58" s="31">
        <v>0.1673</v>
      </c>
      <c r="N58" s="31">
        <v>0.1517</v>
      </c>
      <c r="O58" s="31">
        <v>0.14829999999999999</v>
      </c>
      <c r="P58" s="31">
        <v>1239.19</v>
      </c>
      <c r="Q58" s="31">
        <v>1151.3599999999999</v>
      </c>
      <c r="R58" s="31">
        <v>0</v>
      </c>
      <c r="S58" s="31">
        <v>0</v>
      </c>
      <c r="T58" s="31">
        <v>0</v>
      </c>
      <c r="U58" s="31">
        <v>0</v>
      </c>
      <c r="V58" s="31">
        <v>0</v>
      </c>
      <c r="W58" s="31">
        <v>0</v>
      </c>
      <c r="X58" s="31">
        <v>0</v>
      </c>
      <c r="Y58" s="31">
        <v>0</v>
      </c>
      <c r="Z58" s="31">
        <v>0</v>
      </c>
      <c r="AA58" s="31">
        <v>3</v>
      </c>
      <c r="AB58" s="31">
        <v>1</v>
      </c>
      <c r="AC58" s="31">
        <v>2</v>
      </c>
      <c r="AD58" s="31">
        <v>1</v>
      </c>
      <c r="AE58" s="31">
        <v>4.0999999999999996</v>
      </c>
      <c r="AF58" s="31">
        <v>21</v>
      </c>
      <c r="AG58" s="31">
        <v>0</v>
      </c>
      <c r="AH58" s="31">
        <v>0</v>
      </c>
      <c r="AI58" s="31">
        <v>-22.97</v>
      </c>
      <c r="AJ58" s="31">
        <v>-9.92</v>
      </c>
      <c r="AK58" s="31">
        <v>279.10998000000001</v>
      </c>
      <c r="AL58" s="31">
        <v>0</v>
      </c>
      <c r="AM58" s="31">
        <v>0</v>
      </c>
      <c r="AN58" s="31">
        <v>0</v>
      </c>
      <c r="AO58" s="31">
        <v>0</v>
      </c>
      <c r="AP58" s="31">
        <v>0</v>
      </c>
      <c r="AQ58" s="31">
        <v>0</v>
      </c>
      <c r="AR58" s="31">
        <v>0</v>
      </c>
      <c r="AS58" s="31">
        <v>0</v>
      </c>
      <c r="AU58" s="32">
        <v>13.259</v>
      </c>
      <c r="AV58" s="32">
        <v>145.56100000000001</v>
      </c>
      <c r="AW58" s="32">
        <v>-85.394999999999996</v>
      </c>
      <c r="AX58" s="32">
        <v>2.0735999999999999</v>
      </c>
      <c r="AY58" s="32">
        <v>0</v>
      </c>
      <c r="BA58" s="34">
        <v>0</v>
      </c>
      <c r="BB58" s="34">
        <v>0</v>
      </c>
      <c r="BC58" s="34">
        <v>0</v>
      </c>
      <c r="BD58" s="34">
        <v>0</v>
      </c>
      <c r="BE58" s="34">
        <v>0</v>
      </c>
      <c r="BF58" s="35">
        <v>0</v>
      </c>
      <c r="BG58" s="34">
        <v>0</v>
      </c>
    </row>
    <row r="59" spans="1:59" ht="13.5">
      <c r="A59" s="31">
        <v>56</v>
      </c>
      <c r="B59" s="31" t="s">
        <v>182</v>
      </c>
      <c r="C59" s="31" t="s">
        <v>183</v>
      </c>
      <c r="D59" s="31">
        <v>62.136000000000003</v>
      </c>
      <c r="E59" s="31">
        <v>5495</v>
      </c>
      <c r="F59" s="31">
        <v>499</v>
      </c>
      <c r="G59" s="31">
        <v>0.20699999999999999</v>
      </c>
      <c r="H59" s="31">
        <v>0.191</v>
      </c>
      <c r="I59" s="31">
        <v>42.375999999999998</v>
      </c>
      <c r="J59" s="31">
        <v>0.95199999999999996</v>
      </c>
      <c r="K59" s="31">
        <v>0.96060000000000001</v>
      </c>
      <c r="L59" s="31">
        <v>0.96289999999999998</v>
      </c>
      <c r="M59" s="31">
        <v>0</v>
      </c>
      <c r="N59" s="31">
        <v>0</v>
      </c>
      <c r="O59" s="31">
        <v>0</v>
      </c>
      <c r="P59" s="31">
        <v>0</v>
      </c>
      <c r="Q59" s="31">
        <v>0</v>
      </c>
      <c r="R59" s="31">
        <v>0</v>
      </c>
      <c r="S59" s="31">
        <v>0</v>
      </c>
      <c r="T59" s="31">
        <v>0</v>
      </c>
      <c r="U59" s="31">
        <v>0</v>
      </c>
      <c r="V59" s="31">
        <v>0</v>
      </c>
      <c r="W59" s="31">
        <v>0</v>
      </c>
      <c r="X59" s="31">
        <v>0</v>
      </c>
      <c r="Y59" s="31">
        <v>0</v>
      </c>
      <c r="Z59" s="31">
        <v>0</v>
      </c>
      <c r="AA59" s="31">
        <v>4.5</v>
      </c>
      <c r="AB59" s="31">
        <v>2</v>
      </c>
      <c r="AC59" s="31">
        <v>3</v>
      </c>
      <c r="AD59" s="31">
        <v>1</v>
      </c>
      <c r="AE59" s="31">
        <v>2.8</v>
      </c>
      <c r="AF59" s="31">
        <v>18</v>
      </c>
      <c r="AG59" s="31">
        <v>0</v>
      </c>
      <c r="AH59" s="31">
        <v>0</v>
      </c>
      <c r="AI59" s="31">
        <v>-46.11</v>
      </c>
      <c r="AJ59" s="31">
        <v>-4.6900000000000004</v>
      </c>
      <c r="AK59" s="31">
        <v>308.14999</v>
      </c>
      <c r="AL59" s="31">
        <v>0</v>
      </c>
      <c r="AM59" s="31">
        <v>0</v>
      </c>
      <c r="AN59" s="31">
        <v>0</v>
      </c>
      <c r="AO59" s="31">
        <v>0</v>
      </c>
      <c r="AP59" s="31">
        <v>0</v>
      </c>
      <c r="AQ59" s="31">
        <v>573.00000999999997</v>
      </c>
      <c r="AR59" s="31">
        <v>0</v>
      </c>
      <c r="AS59" s="31">
        <v>0</v>
      </c>
      <c r="AU59" s="32">
        <v>14.912000000000001</v>
      </c>
      <c r="AV59" s="32">
        <v>234.93199999999999</v>
      </c>
      <c r="AW59" s="32">
        <v>-135.52000000000001</v>
      </c>
      <c r="AX59" s="32">
        <v>3.1598000000000002</v>
      </c>
      <c r="AY59" s="32">
        <v>0</v>
      </c>
      <c r="BA59" s="34">
        <v>0</v>
      </c>
      <c r="BB59" s="34">
        <v>0</v>
      </c>
      <c r="BC59" s="34">
        <v>0</v>
      </c>
      <c r="BD59" s="34">
        <v>0</v>
      </c>
      <c r="BE59" s="34">
        <v>0</v>
      </c>
      <c r="BF59" s="35">
        <v>0</v>
      </c>
      <c r="BG59" s="34">
        <v>0</v>
      </c>
    </row>
    <row r="60" spans="1:59" ht="13.5">
      <c r="A60" s="31">
        <v>57</v>
      </c>
      <c r="B60" s="31" t="s">
        <v>184</v>
      </c>
      <c r="C60" s="31" t="s">
        <v>185</v>
      </c>
      <c r="D60" s="31">
        <v>76.162999999999997</v>
      </c>
      <c r="E60" s="31">
        <v>4256</v>
      </c>
      <c r="F60" s="31">
        <v>533</v>
      </c>
      <c r="G60" s="31">
        <v>0</v>
      </c>
      <c r="H60" s="31">
        <v>0.20699999999999999</v>
      </c>
      <c r="I60" s="31">
        <v>52.616999999999997</v>
      </c>
      <c r="J60" s="31">
        <v>0.91749999999999998</v>
      </c>
      <c r="K60" s="31">
        <v>0.93340000000000001</v>
      </c>
      <c r="L60" s="31">
        <v>0.93759999999999999</v>
      </c>
      <c r="M60" s="31">
        <v>0</v>
      </c>
      <c r="N60" s="31">
        <v>0</v>
      </c>
      <c r="O60" s="31">
        <v>0</v>
      </c>
      <c r="P60" s="31">
        <v>0</v>
      </c>
      <c r="Q60" s="31">
        <v>0</v>
      </c>
      <c r="R60" s="31">
        <v>0</v>
      </c>
      <c r="S60" s="31">
        <v>0</v>
      </c>
      <c r="T60" s="31">
        <v>0</v>
      </c>
      <c r="U60" s="31">
        <v>0</v>
      </c>
      <c r="V60" s="31">
        <v>0</v>
      </c>
      <c r="W60" s="31">
        <v>0</v>
      </c>
      <c r="X60" s="31">
        <v>0</v>
      </c>
      <c r="Y60" s="31">
        <v>0</v>
      </c>
      <c r="Z60" s="31">
        <v>0</v>
      </c>
      <c r="AA60" s="31">
        <v>6</v>
      </c>
      <c r="AB60" s="31">
        <v>3</v>
      </c>
      <c r="AC60" s="31">
        <v>4</v>
      </c>
      <c r="AD60" s="31">
        <v>1</v>
      </c>
      <c r="AE60" s="31">
        <v>0</v>
      </c>
      <c r="AF60" s="31">
        <v>0</v>
      </c>
      <c r="AG60" s="31">
        <v>0</v>
      </c>
      <c r="AH60" s="31">
        <v>0</v>
      </c>
      <c r="AI60" s="31">
        <v>-59.62</v>
      </c>
      <c r="AJ60" s="31">
        <v>0</v>
      </c>
      <c r="AK60" s="31">
        <v>339.8</v>
      </c>
      <c r="AL60" s="31">
        <v>0</v>
      </c>
      <c r="AM60" s="31">
        <v>0</v>
      </c>
      <c r="AN60" s="31">
        <v>0</v>
      </c>
      <c r="AO60" s="31">
        <v>0</v>
      </c>
      <c r="AP60" s="31">
        <v>0</v>
      </c>
      <c r="AQ60" s="31">
        <v>0</v>
      </c>
      <c r="AR60" s="31">
        <v>0</v>
      </c>
      <c r="AS60" s="31">
        <v>0</v>
      </c>
      <c r="AU60" s="32">
        <v>68.716999999999999</v>
      </c>
      <c r="AV60" s="32">
        <v>88.320999999999998</v>
      </c>
      <c r="AW60" s="32">
        <v>0</v>
      </c>
      <c r="AX60" s="32">
        <v>0</v>
      </c>
      <c r="AY60" s="32">
        <v>0</v>
      </c>
      <c r="BA60" s="34">
        <v>0</v>
      </c>
      <c r="BB60" s="34">
        <v>0</v>
      </c>
      <c r="BC60" s="34">
        <v>0</v>
      </c>
      <c r="BD60" s="34">
        <v>0</v>
      </c>
      <c r="BE60" s="34">
        <v>0</v>
      </c>
      <c r="BF60" s="35">
        <v>0</v>
      </c>
      <c r="BG60" s="34">
        <v>0</v>
      </c>
    </row>
    <row r="61" spans="1:59" ht="13.5">
      <c r="A61" s="31">
        <v>58</v>
      </c>
      <c r="B61" s="31" t="s">
        <v>186</v>
      </c>
      <c r="C61" s="31" t="s">
        <v>187</v>
      </c>
      <c r="D61" s="31">
        <v>60.076000000000001</v>
      </c>
      <c r="E61" s="31">
        <v>6350</v>
      </c>
      <c r="F61" s="31">
        <v>378.8</v>
      </c>
      <c r="G61" s="31">
        <v>0.1363</v>
      </c>
      <c r="H61" s="31">
        <v>0.105</v>
      </c>
      <c r="I61" s="31">
        <v>27.56</v>
      </c>
      <c r="J61" s="31">
        <v>0.98499999999999999</v>
      </c>
      <c r="K61" s="31">
        <v>0.98699999999999999</v>
      </c>
      <c r="L61" s="31">
        <v>0.98799999999999999</v>
      </c>
      <c r="M61" s="31">
        <v>0.1225</v>
      </c>
      <c r="N61" s="31">
        <v>0.114</v>
      </c>
      <c r="O61" s="31">
        <v>0.1095</v>
      </c>
      <c r="P61" s="31">
        <v>548.23</v>
      </c>
      <c r="Q61" s="31">
        <v>548.23</v>
      </c>
      <c r="R61" s="31">
        <v>0</v>
      </c>
      <c r="S61" s="31">
        <v>0</v>
      </c>
      <c r="T61" s="31">
        <v>0</v>
      </c>
      <c r="U61" s="31">
        <v>0</v>
      </c>
      <c r="V61" s="31">
        <v>0</v>
      </c>
      <c r="W61" s="31">
        <v>0</v>
      </c>
      <c r="X61" s="31">
        <v>0</v>
      </c>
      <c r="Y61" s="31">
        <v>0</v>
      </c>
      <c r="Z61" s="31">
        <v>0</v>
      </c>
      <c r="AA61" s="31">
        <v>1.5</v>
      </c>
      <c r="AB61" s="31">
        <v>1</v>
      </c>
      <c r="AC61" s="31">
        <v>0</v>
      </c>
      <c r="AD61" s="31">
        <v>1</v>
      </c>
      <c r="AE61" s="31">
        <v>0</v>
      </c>
      <c r="AF61" s="31">
        <v>0</v>
      </c>
      <c r="AG61" s="31">
        <v>336</v>
      </c>
      <c r="AH61" s="31">
        <v>0.41299999999999998</v>
      </c>
      <c r="AI61" s="31">
        <v>-138.41</v>
      </c>
      <c r="AJ61" s="31">
        <v>-165.63999000000001</v>
      </c>
      <c r="AK61" s="31">
        <v>222.89998</v>
      </c>
      <c r="AL61" s="31">
        <v>0</v>
      </c>
      <c r="AM61" s="31">
        <v>0</v>
      </c>
      <c r="AN61" s="31">
        <v>0</v>
      </c>
      <c r="AO61" s="31">
        <v>0</v>
      </c>
      <c r="AP61" s="31">
        <v>0</v>
      </c>
      <c r="AQ61" s="31">
        <v>0</v>
      </c>
      <c r="AR61" s="31">
        <v>0</v>
      </c>
      <c r="AS61" s="31">
        <v>0</v>
      </c>
      <c r="AU61" s="32">
        <v>23.552</v>
      </c>
      <c r="AV61" s="32">
        <v>79.789000000000001</v>
      </c>
      <c r="AW61" s="32">
        <v>-70.123999999999995</v>
      </c>
      <c r="AX61" s="32">
        <v>2.4518</v>
      </c>
      <c r="AY61" s="32">
        <v>0</v>
      </c>
      <c r="BA61" s="34">
        <v>0</v>
      </c>
      <c r="BB61" s="34">
        <v>0</v>
      </c>
      <c r="BC61" s="34">
        <v>0</v>
      </c>
      <c r="BD61" s="34">
        <v>0</v>
      </c>
      <c r="BE61" s="34">
        <v>0</v>
      </c>
      <c r="BF61" s="35">
        <v>0</v>
      </c>
      <c r="BG61" s="34">
        <v>0</v>
      </c>
    </row>
    <row r="62" spans="1:59">
      <c r="A62" s="31">
        <v>59</v>
      </c>
      <c r="B62" s="31" t="s">
        <v>188</v>
      </c>
      <c r="C62" s="31" t="s">
        <v>189</v>
      </c>
      <c r="D62" s="31">
        <v>76.143000000000001</v>
      </c>
      <c r="E62" s="31">
        <v>7900</v>
      </c>
      <c r="F62" s="31">
        <v>552</v>
      </c>
      <c r="G62" s="31">
        <v>0.16</v>
      </c>
      <c r="H62" s="31">
        <v>0.109</v>
      </c>
      <c r="I62" s="31">
        <v>0</v>
      </c>
      <c r="J62" s="31">
        <v>0.95399999999999996</v>
      </c>
      <c r="K62" s="31">
        <v>0.96199999999999997</v>
      </c>
      <c r="L62" s="31">
        <v>0.96499999999999997</v>
      </c>
      <c r="M62" s="31">
        <v>0.2145</v>
      </c>
      <c r="N62" s="31">
        <v>0.19489999999999999</v>
      </c>
      <c r="O62" s="31">
        <v>0.18709999999999999</v>
      </c>
      <c r="P62" s="31">
        <v>1104.49</v>
      </c>
      <c r="Q62" s="31">
        <v>1104.49</v>
      </c>
      <c r="R62" s="31">
        <v>0</v>
      </c>
      <c r="S62" s="31">
        <v>0</v>
      </c>
      <c r="T62" s="31">
        <v>0</v>
      </c>
      <c r="U62" s="31">
        <v>0</v>
      </c>
      <c r="V62" s="31">
        <v>0</v>
      </c>
      <c r="W62" s="31">
        <v>0</v>
      </c>
      <c r="X62" s="31">
        <v>0</v>
      </c>
      <c r="Y62" s="31">
        <v>0</v>
      </c>
      <c r="Z62" s="31">
        <v>0</v>
      </c>
      <c r="AA62" s="31">
        <v>3</v>
      </c>
      <c r="AB62" s="31">
        <v>1</v>
      </c>
      <c r="AC62" s="31">
        <v>0</v>
      </c>
      <c r="AD62" s="31">
        <v>2</v>
      </c>
      <c r="AE62" s="31">
        <v>0</v>
      </c>
      <c r="AF62" s="31">
        <v>0</v>
      </c>
      <c r="AG62" s="31">
        <v>488</v>
      </c>
      <c r="AH62" s="31">
        <v>0.44379999999999997</v>
      </c>
      <c r="AI62" s="31">
        <v>0</v>
      </c>
      <c r="AJ62" s="31">
        <v>0</v>
      </c>
      <c r="AK62" s="31">
        <v>0</v>
      </c>
      <c r="AL62" s="31">
        <v>0</v>
      </c>
      <c r="AM62" s="31">
        <v>0</v>
      </c>
      <c r="AN62" s="31">
        <v>0</v>
      </c>
      <c r="AO62" s="31">
        <v>0</v>
      </c>
      <c r="AP62" s="31">
        <v>0</v>
      </c>
      <c r="AQ62" s="31">
        <v>0</v>
      </c>
      <c r="AR62" s="31">
        <v>0</v>
      </c>
      <c r="AS62" s="31">
        <v>0</v>
      </c>
      <c r="BA62" s="34">
        <v>0</v>
      </c>
      <c r="BB62" s="34">
        <v>0</v>
      </c>
      <c r="BC62" s="34">
        <v>0</v>
      </c>
      <c r="BD62" s="34">
        <v>0</v>
      </c>
      <c r="BE62" s="34">
        <v>0</v>
      </c>
      <c r="BF62" s="35">
        <v>0</v>
      </c>
      <c r="BG62" s="34">
        <v>0</v>
      </c>
    </row>
    <row r="63" spans="1:59" ht="13.5">
      <c r="A63" s="31">
        <v>60</v>
      </c>
      <c r="B63" s="31" t="s">
        <v>190</v>
      </c>
      <c r="C63" s="31" t="s">
        <v>191</v>
      </c>
      <c r="D63" s="31">
        <v>34.082000000000001</v>
      </c>
      <c r="E63" s="31">
        <v>9004.5999999899996</v>
      </c>
      <c r="F63" s="31">
        <v>373.6</v>
      </c>
      <c r="G63" s="31">
        <v>9.8000000000000004E-2</v>
      </c>
      <c r="H63" s="31">
        <v>0.1</v>
      </c>
      <c r="I63" s="31">
        <v>20.22</v>
      </c>
      <c r="J63" s="31">
        <v>0.99</v>
      </c>
      <c r="K63" s="31">
        <v>0.99</v>
      </c>
      <c r="L63" s="31">
        <v>0.99</v>
      </c>
      <c r="M63" s="31">
        <v>0.1</v>
      </c>
      <c r="N63" s="31">
        <v>0.1</v>
      </c>
      <c r="O63" s="31">
        <v>0.1</v>
      </c>
      <c r="P63" s="31">
        <v>562.01</v>
      </c>
      <c r="Q63" s="31">
        <v>517.99</v>
      </c>
      <c r="R63" s="31">
        <v>0.98839999999999995</v>
      </c>
      <c r="S63" s="31">
        <v>0.99039999999999995</v>
      </c>
      <c r="T63" s="31">
        <v>0.1077</v>
      </c>
      <c r="U63" s="31">
        <v>9.8000000000000004E-2</v>
      </c>
      <c r="V63" s="31">
        <v>25.097999999999999</v>
      </c>
      <c r="W63" s="31">
        <v>23.134</v>
      </c>
      <c r="X63" s="31">
        <v>1.5203</v>
      </c>
      <c r="Y63" s="31">
        <v>1.4412</v>
      </c>
      <c r="Z63" s="31">
        <v>1.1765000000000001</v>
      </c>
      <c r="AA63" s="31">
        <v>1.5</v>
      </c>
      <c r="AB63" s="31">
        <v>0</v>
      </c>
      <c r="AC63" s="31">
        <v>1</v>
      </c>
      <c r="AD63" s="31">
        <v>1</v>
      </c>
      <c r="AE63" s="31">
        <v>4</v>
      </c>
      <c r="AF63" s="31">
        <v>44</v>
      </c>
      <c r="AG63" s="31">
        <v>31.2</v>
      </c>
      <c r="AH63" s="31">
        <v>0.35909999999999997</v>
      </c>
      <c r="AI63" s="31">
        <v>-20.170000000000002</v>
      </c>
      <c r="AJ63" s="31">
        <v>-33.049999999999997</v>
      </c>
      <c r="AK63" s="31">
        <v>211.39998</v>
      </c>
      <c r="AL63" s="31">
        <v>0</v>
      </c>
      <c r="AM63" s="31">
        <v>0</v>
      </c>
      <c r="AN63" s="31">
        <v>331</v>
      </c>
      <c r="AO63" s="31">
        <v>0</v>
      </c>
      <c r="AP63" s="31">
        <v>10.7</v>
      </c>
      <c r="AQ63" s="31">
        <v>0</v>
      </c>
      <c r="AR63" s="31">
        <v>0</v>
      </c>
      <c r="AS63" s="31">
        <v>0</v>
      </c>
      <c r="AU63" s="32">
        <v>34.036999999999999</v>
      </c>
      <c r="AV63" s="32">
        <v>-12.561</v>
      </c>
      <c r="AW63" s="32">
        <v>56.95</v>
      </c>
      <c r="AX63" s="32">
        <v>-4.3308</v>
      </c>
      <c r="AY63" s="32">
        <v>10.847099999999999</v>
      </c>
      <c r="BA63" s="34">
        <v>0</v>
      </c>
      <c r="BB63" s="34">
        <v>0</v>
      </c>
      <c r="BC63" s="34">
        <v>0</v>
      </c>
      <c r="BD63" s="34">
        <v>0</v>
      </c>
      <c r="BE63" s="34">
        <v>0</v>
      </c>
      <c r="BF63" s="35">
        <v>0</v>
      </c>
      <c r="BG63" s="34">
        <v>0</v>
      </c>
    </row>
    <row r="64" spans="1:59" ht="13.5">
      <c r="A64" s="31">
        <v>61</v>
      </c>
      <c r="B64" s="31" t="s">
        <v>192</v>
      </c>
      <c r="C64" s="31" t="s">
        <v>193</v>
      </c>
      <c r="D64" s="31">
        <v>64.064999999999998</v>
      </c>
      <c r="E64" s="31">
        <v>7895</v>
      </c>
      <c r="F64" s="31">
        <v>430.7</v>
      </c>
      <c r="G64" s="31">
        <v>0.122</v>
      </c>
      <c r="H64" s="31">
        <v>0.246</v>
      </c>
      <c r="I64" s="31">
        <v>28.329000000000001</v>
      </c>
      <c r="J64" s="31">
        <v>0.97599999999999998</v>
      </c>
      <c r="K64" s="31">
        <v>0.97899999999999998</v>
      </c>
      <c r="L64" s="31">
        <v>0.98</v>
      </c>
      <c r="M64" s="31">
        <v>0.15490000000000001</v>
      </c>
      <c r="N64" s="31">
        <v>0.1449</v>
      </c>
      <c r="O64" s="31">
        <v>0.1414</v>
      </c>
      <c r="P64" s="31">
        <v>0</v>
      </c>
      <c r="Q64" s="31">
        <v>0</v>
      </c>
      <c r="R64" s="31">
        <v>0</v>
      </c>
      <c r="S64" s="31">
        <v>0</v>
      </c>
      <c r="T64" s="31">
        <v>0</v>
      </c>
      <c r="U64" s="31">
        <v>0</v>
      </c>
      <c r="V64" s="31">
        <v>0</v>
      </c>
      <c r="W64" s="31">
        <v>0</v>
      </c>
      <c r="X64" s="31">
        <v>0</v>
      </c>
      <c r="Y64" s="31">
        <v>0</v>
      </c>
      <c r="Z64" s="31">
        <v>0</v>
      </c>
      <c r="AA64" s="31">
        <v>0</v>
      </c>
      <c r="AB64" s="31">
        <v>0</v>
      </c>
      <c r="AC64" s="31">
        <v>0</v>
      </c>
      <c r="AD64" s="31">
        <v>0</v>
      </c>
      <c r="AE64" s="31">
        <v>0</v>
      </c>
      <c r="AF64" s="31">
        <v>0</v>
      </c>
      <c r="AG64" s="31">
        <v>251.7</v>
      </c>
      <c r="AH64" s="31">
        <v>0.42899999999999999</v>
      </c>
      <c r="AI64" s="31">
        <v>-296.84996000000001</v>
      </c>
      <c r="AJ64" s="31">
        <v>-300.15998999999999</v>
      </c>
      <c r="AK64" s="31">
        <v>263.20001000000002</v>
      </c>
      <c r="AL64" s="31">
        <v>0</v>
      </c>
      <c r="AM64" s="31">
        <v>0</v>
      </c>
      <c r="AN64" s="31">
        <v>416</v>
      </c>
      <c r="AO64" s="31">
        <v>0</v>
      </c>
      <c r="AP64" s="31">
        <v>11.63</v>
      </c>
      <c r="AQ64" s="31">
        <v>0</v>
      </c>
      <c r="AR64" s="31">
        <v>0</v>
      </c>
      <c r="AS64" s="31">
        <v>0</v>
      </c>
      <c r="AU64" s="32">
        <v>29.573</v>
      </c>
      <c r="AV64" s="32">
        <v>31.89</v>
      </c>
      <c r="AW64" s="32">
        <v>23.234000000000002</v>
      </c>
      <c r="AX64" s="32">
        <v>-4.8372000000000002</v>
      </c>
      <c r="AY64" s="32">
        <v>18.200199999999999</v>
      </c>
      <c r="BA64" s="34">
        <v>3.243188</v>
      </c>
      <c r="BB64" s="34">
        <v>0.46165</v>
      </c>
      <c r="BC64" s="34">
        <v>2.48915E-4</v>
      </c>
      <c r="BD64" s="34">
        <v>1.209E-7</v>
      </c>
      <c r="BE64" s="34">
        <v>-1.8877999999999999E-10</v>
      </c>
      <c r="BF64" s="35">
        <v>5.6823200000000002E-14</v>
      </c>
      <c r="BG64" s="34">
        <v>2.0869239999999998</v>
      </c>
    </row>
    <row r="65" spans="1:59" ht="13.5">
      <c r="A65" s="31">
        <v>62</v>
      </c>
      <c r="B65" s="31" t="s">
        <v>194</v>
      </c>
      <c r="C65" s="31" t="s">
        <v>195</v>
      </c>
      <c r="D65" s="31">
        <v>39.948</v>
      </c>
      <c r="E65" s="31">
        <v>4864.8999999999996</v>
      </c>
      <c r="F65" s="31">
        <v>150.80000000000001</v>
      </c>
      <c r="G65" s="31">
        <v>7.5999999999999998E-2</v>
      </c>
      <c r="H65" s="31">
        <v>1E-3</v>
      </c>
      <c r="I65" s="31">
        <v>9.0329999999999995</v>
      </c>
      <c r="J65" s="31">
        <v>0.999</v>
      </c>
      <c r="K65" s="31">
        <v>0.99919999999999998</v>
      </c>
      <c r="L65" s="31">
        <v>0.99929999999999997</v>
      </c>
      <c r="M65" s="31">
        <v>3.1600000000000003E-2</v>
      </c>
      <c r="N65" s="31">
        <v>2.8299999999999999E-2</v>
      </c>
      <c r="O65" s="31">
        <v>2.6499999999999999E-2</v>
      </c>
      <c r="P65" s="31">
        <v>0</v>
      </c>
      <c r="Q65" s="31">
        <v>0</v>
      </c>
      <c r="R65" s="31">
        <v>0.999</v>
      </c>
      <c r="S65" s="31">
        <v>0.99919999999999998</v>
      </c>
      <c r="T65" s="31">
        <v>3.1600000000000003E-2</v>
      </c>
      <c r="U65" s="31">
        <v>2.8299999999999999E-2</v>
      </c>
      <c r="V65" s="31">
        <v>0</v>
      </c>
      <c r="W65" s="31">
        <v>0</v>
      </c>
      <c r="X65" s="31">
        <v>1.7823</v>
      </c>
      <c r="Y65" s="31">
        <v>1.6895</v>
      </c>
      <c r="Z65" s="31">
        <v>1.3792</v>
      </c>
      <c r="AA65" s="31">
        <v>0</v>
      </c>
      <c r="AB65" s="31">
        <v>0</v>
      </c>
      <c r="AC65" s="31">
        <v>0</v>
      </c>
      <c r="AD65" s="31">
        <v>0</v>
      </c>
      <c r="AE65" s="31">
        <v>0</v>
      </c>
      <c r="AF65" s="31">
        <v>0</v>
      </c>
      <c r="AG65" s="31">
        <v>124.9</v>
      </c>
      <c r="AH65" s="31">
        <v>0.34229999999999999</v>
      </c>
      <c r="AI65" s="31">
        <v>0</v>
      </c>
      <c r="AJ65" s="31">
        <v>0</v>
      </c>
      <c r="AK65" s="31">
        <v>87.3</v>
      </c>
      <c r="AL65" s="31">
        <v>0</v>
      </c>
      <c r="AM65" s="31">
        <v>0</v>
      </c>
      <c r="AN65" s="31">
        <v>164</v>
      </c>
      <c r="AO65" s="31">
        <v>0</v>
      </c>
      <c r="AP65" s="31">
        <v>20.93</v>
      </c>
      <c r="AQ65" s="31">
        <v>0</v>
      </c>
      <c r="AR65" s="31">
        <v>0</v>
      </c>
      <c r="AS65" s="31">
        <v>0</v>
      </c>
      <c r="AU65" s="32">
        <v>20.79</v>
      </c>
      <c r="AV65" s="32">
        <v>-3.2000000000000001E-2</v>
      </c>
      <c r="AW65" s="32">
        <v>5.1999999999999998E-2</v>
      </c>
      <c r="AX65" s="32">
        <v>0</v>
      </c>
      <c r="AY65" s="32">
        <v>0</v>
      </c>
      <c r="BA65" s="34">
        <v>0</v>
      </c>
      <c r="BB65" s="34">
        <v>0</v>
      </c>
      <c r="BC65" s="34">
        <v>0</v>
      </c>
      <c r="BD65" s="34">
        <v>0</v>
      </c>
      <c r="BE65" s="34">
        <v>0</v>
      </c>
      <c r="BF65" s="35">
        <v>0</v>
      </c>
      <c r="BG65" s="34">
        <v>0</v>
      </c>
    </row>
    <row r="66" spans="1:59" ht="13.5">
      <c r="A66" s="31">
        <v>63</v>
      </c>
      <c r="B66" s="31" t="s">
        <v>196</v>
      </c>
      <c r="C66" s="31" t="s">
        <v>197</v>
      </c>
      <c r="D66" s="31">
        <v>31.998799999999999</v>
      </c>
      <c r="E66" s="31">
        <v>5081</v>
      </c>
      <c r="F66" s="31">
        <v>154.80000000000001</v>
      </c>
      <c r="G66" s="31">
        <v>7.5999999999999998E-2</v>
      </c>
      <c r="H66" s="31">
        <v>1.9E-2</v>
      </c>
      <c r="I66" s="31">
        <v>9.4689999999999994</v>
      </c>
      <c r="J66" s="31">
        <v>0.999</v>
      </c>
      <c r="K66" s="31">
        <v>0.99919999999999998</v>
      </c>
      <c r="L66" s="31">
        <v>0.99929999999999997</v>
      </c>
      <c r="M66" s="31">
        <v>3.1600000000000003E-2</v>
      </c>
      <c r="N66" s="31">
        <v>2.8299999999999999E-2</v>
      </c>
      <c r="O66" s="31">
        <v>2.6499999999999999E-2</v>
      </c>
      <c r="P66" s="31">
        <v>0</v>
      </c>
      <c r="Q66" s="31">
        <v>0</v>
      </c>
      <c r="R66" s="31">
        <v>0.999</v>
      </c>
      <c r="S66" s="31">
        <v>0.99929999999999997</v>
      </c>
      <c r="T66" s="31">
        <v>3.1600000000000003E-2</v>
      </c>
      <c r="U66" s="31">
        <v>2.6499999999999999E-2</v>
      </c>
      <c r="V66" s="31">
        <v>0</v>
      </c>
      <c r="W66" s="31">
        <v>0</v>
      </c>
      <c r="X66" s="31">
        <v>1.4276</v>
      </c>
      <c r="Y66" s="31">
        <v>1.3532999999999999</v>
      </c>
      <c r="Z66" s="31">
        <v>1.1048</v>
      </c>
      <c r="AA66" s="31">
        <v>0</v>
      </c>
      <c r="AB66" s="31">
        <v>0</v>
      </c>
      <c r="AC66" s="31">
        <v>0</v>
      </c>
      <c r="AD66" s="31">
        <v>0</v>
      </c>
      <c r="AE66" s="31">
        <v>0</v>
      </c>
      <c r="AF66" s="31">
        <v>0</v>
      </c>
      <c r="AG66" s="31">
        <v>48.9</v>
      </c>
      <c r="AH66" s="31">
        <v>0.35410000000000003</v>
      </c>
      <c r="AI66" s="31">
        <v>0</v>
      </c>
      <c r="AJ66" s="31">
        <v>0</v>
      </c>
      <c r="AK66" s="31">
        <v>90.3</v>
      </c>
      <c r="AL66" s="31">
        <v>0</v>
      </c>
      <c r="AM66" s="31">
        <v>0</v>
      </c>
      <c r="AN66" s="31">
        <v>130.99999</v>
      </c>
      <c r="AO66" s="31">
        <v>0</v>
      </c>
      <c r="AP66" s="31">
        <v>19.190000000000001</v>
      </c>
      <c r="AQ66" s="31">
        <v>0</v>
      </c>
      <c r="AR66" s="31">
        <v>0</v>
      </c>
      <c r="AS66" s="31">
        <v>0</v>
      </c>
      <c r="AU66" s="32">
        <v>30.477</v>
      </c>
      <c r="AV66" s="32">
        <v>-17.992000000000001</v>
      </c>
      <c r="AW66" s="32">
        <v>62.899000000000001</v>
      </c>
      <c r="AX66" s="32">
        <v>-5.7895000000000003</v>
      </c>
      <c r="AY66" s="32">
        <v>17.403400000000001</v>
      </c>
      <c r="BA66" s="34">
        <v>-2.2835740000000002</v>
      </c>
      <c r="BB66" s="34">
        <v>0.95243999999999995</v>
      </c>
      <c r="BC66" s="34">
        <v>-2.8113999999999998E-4</v>
      </c>
      <c r="BD66" s="34">
        <v>6.5522299999999999E-7</v>
      </c>
      <c r="BE66" s="34">
        <v>-4.5231600000000001E-10</v>
      </c>
      <c r="BF66" s="35">
        <v>1.087744E-13</v>
      </c>
      <c r="BG66" s="34">
        <v>2.0803099999999999</v>
      </c>
    </row>
    <row r="67" spans="1:59" ht="13.5">
      <c r="A67" s="31">
        <v>64</v>
      </c>
      <c r="B67" s="31" t="s">
        <v>198</v>
      </c>
      <c r="C67" s="31" t="s">
        <v>199</v>
      </c>
      <c r="D67" s="31">
        <v>28.01</v>
      </c>
      <c r="E67" s="31">
        <v>3499.1</v>
      </c>
      <c r="F67" s="31">
        <v>133</v>
      </c>
      <c r="G67" s="31">
        <v>9.2999999999999999E-2</v>
      </c>
      <c r="H67" s="31">
        <v>9.2999999999999999E-2</v>
      </c>
      <c r="I67" s="31">
        <v>10.866</v>
      </c>
      <c r="J67" s="31">
        <v>0.99929999999999997</v>
      </c>
      <c r="K67" s="31">
        <v>0.99950000000000006</v>
      </c>
      <c r="L67" s="31">
        <v>0.99960000000000004</v>
      </c>
      <c r="M67" s="31">
        <v>2.6499999999999999E-2</v>
      </c>
      <c r="N67" s="31">
        <v>2.24E-2</v>
      </c>
      <c r="O67" s="31">
        <v>0.02</v>
      </c>
      <c r="P67" s="31">
        <v>282.98</v>
      </c>
      <c r="Q67" s="31">
        <v>282.98</v>
      </c>
      <c r="R67" s="31">
        <v>0.99929999999999997</v>
      </c>
      <c r="S67" s="31">
        <v>0.99950000000000006</v>
      </c>
      <c r="T67" s="31">
        <v>2.6499999999999999E-2</v>
      </c>
      <c r="U67" s="31">
        <v>2.24E-2</v>
      </c>
      <c r="V67" s="31">
        <v>12.625999999999999</v>
      </c>
      <c r="W67" s="31">
        <v>12.625999999999999</v>
      </c>
      <c r="X67" s="31">
        <v>1.2497</v>
      </c>
      <c r="Y67" s="31">
        <v>1.1846000000000001</v>
      </c>
      <c r="Z67" s="31">
        <v>0.96709999999999996</v>
      </c>
      <c r="AA67" s="31">
        <v>0.5</v>
      </c>
      <c r="AB67" s="31">
        <v>1</v>
      </c>
      <c r="AC67" s="31">
        <v>0</v>
      </c>
      <c r="AD67" s="31">
        <v>0</v>
      </c>
      <c r="AE67" s="31">
        <v>12.5</v>
      </c>
      <c r="AF67" s="31">
        <v>74</v>
      </c>
      <c r="AG67" s="31">
        <v>32.799999999999997</v>
      </c>
      <c r="AH67" s="31">
        <v>0.39200000000000002</v>
      </c>
      <c r="AI67" s="31">
        <v>-110.523</v>
      </c>
      <c r="AJ67" s="31">
        <v>-137.26698999999999</v>
      </c>
      <c r="AK67" s="31">
        <v>81.2</v>
      </c>
      <c r="AL67" s="31">
        <v>0</v>
      </c>
      <c r="AM67" s="31">
        <v>0</v>
      </c>
      <c r="AN67" s="31">
        <v>104</v>
      </c>
      <c r="AO67" s="31">
        <v>61</v>
      </c>
      <c r="AP67" s="31">
        <v>16.600000000000001</v>
      </c>
      <c r="AQ67" s="31">
        <v>0</v>
      </c>
      <c r="AR67" s="31">
        <v>15.5</v>
      </c>
      <c r="AS67" s="31">
        <v>94</v>
      </c>
      <c r="AU67" s="32">
        <v>30.082999999999998</v>
      </c>
      <c r="AV67" s="32">
        <v>-9.673</v>
      </c>
      <c r="AW67" s="32">
        <v>25.396999999999998</v>
      </c>
      <c r="AX67" s="32">
        <v>-1.5408999999999999</v>
      </c>
      <c r="AY67" s="32">
        <v>2.8060999999999998</v>
      </c>
      <c r="BA67" s="34">
        <v>-2.2691759999999999</v>
      </c>
      <c r="BB67" s="34">
        <v>1.0740149999999999</v>
      </c>
      <c r="BC67" s="34">
        <v>-1.72664E-4</v>
      </c>
      <c r="BD67" s="34">
        <v>3.0223700000000001E-7</v>
      </c>
      <c r="BE67" s="34">
        <v>-1.3753299999999999E-10</v>
      </c>
      <c r="BF67" s="35">
        <v>2.0036500000000001E-14</v>
      </c>
      <c r="BG67" s="34">
        <v>2.0184449999999998</v>
      </c>
    </row>
    <row r="68" spans="1:59" ht="13.5">
      <c r="A68" s="31">
        <v>65</v>
      </c>
      <c r="B68" s="31" t="s">
        <v>200</v>
      </c>
      <c r="C68" s="31" t="s">
        <v>201</v>
      </c>
      <c r="D68" s="31">
        <v>30.006</v>
      </c>
      <c r="E68" s="31">
        <v>6547</v>
      </c>
      <c r="F68" s="31">
        <v>180.26</v>
      </c>
      <c r="G68" s="31">
        <v>0.06</v>
      </c>
      <c r="H68" s="31">
        <v>0.58799999999999997</v>
      </c>
      <c r="I68" s="31">
        <v>9.4169999999999998</v>
      </c>
      <c r="J68" s="31">
        <v>0.99939999999999996</v>
      </c>
      <c r="K68" s="31">
        <v>0.99970000000000003</v>
      </c>
      <c r="L68" s="31">
        <v>0.99970000000000003</v>
      </c>
      <c r="M68" s="31">
        <v>0</v>
      </c>
      <c r="N68" s="31">
        <v>0</v>
      </c>
      <c r="O68" s="31">
        <v>0</v>
      </c>
      <c r="P68" s="31">
        <v>0</v>
      </c>
      <c r="Q68" s="31">
        <v>0</v>
      </c>
      <c r="R68" s="31">
        <v>0</v>
      </c>
      <c r="S68" s="31">
        <v>0</v>
      </c>
      <c r="T68" s="31">
        <v>0</v>
      </c>
      <c r="U68" s="31">
        <v>0</v>
      </c>
      <c r="V68" s="31">
        <v>0</v>
      </c>
      <c r="W68" s="31">
        <v>0</v>
      </c>
      <c r="X68" s="31">
        <v>0</v>
      </c>
      <c r="Y68" s="31">
        <v>0</v>
      </c>
      <c r="Z68" s="31">
        <v>0</v>
      </c>
      <c r="AA68" s="31">
        <v>0</v>
      </c>
      <c r="AB68" s="31">
        <v>0</v>
      </c>
      <c r="AC68" s="31">
        <v>0</v>
      </c>
      <c r="AD68" s="31">
        <v>0</v>
      </c>
      <c r="AE68" s="31">
        <v>0</v>
      </c>
      <c r="AF68" s="31">
        <v>0</v>
      </c>
      <c r="AG68" s="31">
        <v>119</v>
      </c>
      <c r="AH68" s="31">
        <v>0.34699999999999998</v>
      </c>
      <c r="AI68" s="31">
        <v>90.370009999999994</v>
      </c>
      <c r="AJ68" s="31">
        <v>86.69</v>
      </c>
      <c r="AK68" s="31">
        <v>121.40000999999999</v>
      </c>
      <c r="AL68" s="31">
        <v>0</v>
      </c>
      <c r="AM68" s="31">
        <v>0</v>
      </c>
      <c r="AN68" s="31">
        <v>138.99999</v>
      </c>
      <c r="AO68" s="31">
        <v>0</v>
      </c>
      <c r="AP68" s="31">
        <v>17.899999999999999</v>
      </c>
      <c r="AQ68" s="31">
        <v>0</v>
      </c>
      <c r="AR68" s="31">
        <v>0</v>
      </c>
      <c r="AS68" s="31">
        <v>0</v>
      </c>
      <c r="AU68" s="32">
        <v>29.326000000000001</v>
      </c>
      <c r="AV68" s="32">
        <v>-0.93700000000000006</v>
      </c>
      <c r="AW68" s="32">
        <v>9.74</v>
      </c>
      <c r="AX68" s="32">
        <v>-0.41839999999999999</v>
      </c>
      <c r="AY68" s="32">
        <v>0</v>
      </c>
      <c r="BA68" s="34">
        <v>0</v>
      </c>
      <c r="BB68" s="34">
        <v>0</v>
      </c>
      <c r="BC68" s="34">
        <v>0</v>
      </c>
      <c r="BD68" s="34">
        <v>0</v>
      </c>
      <c r="BE68" s="34">
        <v>0</v>
      </c>
      <c r="BF68" s="35">
        <v>0</v>
      </c>
      <c r="BG68" s="34">
        <v>0</v>
      </c>
    </row>
    <row r="69" spans="1:59" ht="13.5">
      <c r="A69" s="31">
        <v>66</v>
      </c>
      <c r="B69" s="31" t="s">
        <v>202</v>
      </c>
      <c r="C69" s="31" t="s">
        <v>203</v>
      </c>
      <c r="D69" s="31">
        <v>46.006</v>
      </c>
      <c r="E69" s="31">
        <v>10100</v>
      </c>
      <c r="F69" s="31">
        <v>431</v>
      </c>
      <c r="G69" s="31">
        <v>0.1678</v>
      </c>
      <c r="H69" s="31">
        <v>0.83399999999999996</v>
      </c>
      <c r="I69" s="31">
        <v>16.692</v>
      </c>
      <c r="J69" s="31">
        <v>0.97319999999999995</v>
      </c>
      <c r="K69" s="31">
        <v>0.97870000000000001</v>
      </c>
      <c r="L69" s="31">
        <v>0.98019999999999996</v>
      </c>
      <c r="M69" s="31">
        <v>0</v>
      </c>
      <c r="N69" s="31">
        <v>0</v>
      </c>
      <c r="O69" s="31">
        <v>0</v>
      </c>
      <c r="P69" s="31">
        <v>0</v>
      </c>
      <c r="Q69" s="31">
        <v>0</v>
      </c>
      <c r="R69" s="31">
        <v>0</v>
      </c>
      <c r="S69" s="31">
        <v>0</v>
      </c>
      <c r="T69" s="31">
        <v>0</v>
      </c>
      <c r="U69" s="31">
        <v>0</v>
      </c>
      <c r="V69" s="31">
        <v>0</v>
      </c>
      <c r="W69" s="31">
        <v>0</v>
      </c>
      <c r="X69" s="31">
        <v>0</v>
      </c>
      <c r="Y69" s="31">
        <v>0</v>
      </c>
      <c r="Z69" s="31">
        <v>0</v>
      </c>
      <c r="AA69" s="31">
        <v>0</v>
      </c>
      <c r="AB69" s="31">
        <v>0</v>
      </c>
      <c r="AC69" s="31">
        <v>0</v>
      </c>
      <c r="AD69" s="31">
        <v>0</v>
      </c>
      <c r="AE69" s="31">
        <v>0</v>
      </c>
      <c r="AF69" s="31">
        <v>0</v>
      </c>
      <c r="AG69" s="31">
        <v>0</v>
      </c>
      <c r="AH69" s="31">
        <v>0</v>
      </c>
      <c r="AI69" s="31">
        <v>33.85</v>
      </c>
      <c r="AJ69" s="31">
        <v>51.97</v>
      </c>
      <c r="AK69" s="31">
        <v>294.29998000000001</v>
      </c>
      <c r="AL69" s="31">
        <v>0</v>
      </c>
      <c r="AM69" s="31">
        <v>0</v>
      </c>
      <c r="AN69" s="31">
        <v>239.99999</v>
      </c>
      <c r="AO69" s="31">
        <v>0</v>
      </c>
      <c r="AP69" s="31">
        <v>13.7</v>
      </c>
      <c r="AQ69" s="31">
        <v>0</v>
      </c>
      <c r="AR69" s="31">
        <v>0</v>
      </c>
      <c r="AS69" s="31">
        <v>0</v>
      </c>
      <c r="AU69" s="32">
        <v>24.216999999999999</v>
      </c>
      <c r="AV69" s="32">
        <v>48.325000000000003</v>
      </c>
      <c r="AW69" s="32">
        <v>-20.794</v>
      </c>
      <c r="AX69" s="32">
        <v>2.93E-2</v>
      </c>
      <c r="AY69" s="32">
        <v>0</v>
      </c>
      <c r="BA69" s="34">
        <v>0</v>
      </c>
      <c r="BB69" s="34">
        <v>0</v>
      </c>
      <c r="BC69" s="34">
        <v>0</v>
      </c>
      <c r="BD69" s="34">
        <v>0</v>
      </c>
      <c r="BE69" s="34">
        <v>0</v>
      </c>
      <c r="BF69" s="35">
        <v>0</v>
      </c>
      <c r="BG69" s="34">
        <v>0</v>
      </c>
    </row>
    <row r="70" spans="1:59">
      <c r="A70" s="31">
        <v>67</v>
      </c>
      <c r="B70" s="31" t="s">
        <v>204</v>
      </c>
      <c r="C70" s="31" t="s">
        <v>205</v>
      </c>
      <c r="D70" s="31">
        <v>44.012900000000002</v>
      </c>
      <c r="E70" s="31">
        <v>7256.7</v>
      </c>
      <c r="F70" s="31">
        <v>309.60000000000002</v>
      </c>
      <c r="G70" s="31">
        <v>9.7000000000000003E-2</v>
      </c>
      <c r="H70" s="31">
        <v>0.16500000000000001</v>
      </c>
      <c r="I70" s="31">
        <v>0</v>
      </c>
      <c r="J70" s="31">
        <v>0.99270000000000003</v>
      </c>
      <c r="K70" s="31">
        <v>0.99390000000000001</v>
      </c>
      <c r="L70" s="31">
        <v>0.99419999999999997</v>
      </c>
      <c r="M70" s="31">
        <v>0</v>
      </c>
      <c r="N70" s="31">
        <v>0</v>
      </c>
      <c r="O70" s="31">
        <v>0</v>
      </c>
      <c r="P70" s="31">
        <v>0</v>
      </c>
      <c r="Q70" s="31">
        <v>0</v>
      </c>
      <c r="R70" s="31">
        <v>0</v>
      </c>
      <c r="S70" s="31">
        <v>0</v>
      </c>
      <c r="T70" s="31">
        <v>0</v>
      </c>
      <c r="U70" s="31">
        <v>0</v>
      </c>
      <c r="V70" s="31">
        <v>0</v>
      </c>
      <c r="W70" s="31">
        <v>0</v>
      </c>
      <c r="X70" s="31">
        <v>0</v>
      </c>
      <c r="Y70" s="31">
        <v>0</v>
      </c>
      <c r="Z70" s="31">
        <v>0</v>
      </c>
      <c r="AA70" s="31">
        <v>0</v>
      </c>
      <c r="AB70" s="31">
        <v>0</v>
      </c>
      <c r="AC70" s="31">
        <v>0</v>
      </c>
      <c r="AD70" s="31">
        <v>0</v>
      </c>
      <c r="AE70" s="31">
        <v>0</v>
      </c>
      <c r="AF70" s="31">
        <v>0</v>
      </c>
      <c r="AG70" s="31">
        <v>220</v>
      </c>
      <c r="AH70" s="31">
        <v>0.38790000000000002</v>
      </c>
      <c r="AI70" s="31">
        <v>0</v>
      </c>
      <c r="AJ70" s="31">
        <v>0</v>
      </c>
      <c r="AK70" s="31">
        <v>0</v>
      </c>
      <c r="AL70" s="31">
        <v>0</v>
      </c>
      <c r="AM70" s="31">
        <v>0</v>
      </c>
      <c r="AN70" s="31">
        <v>0</v>
      </c>
      <c r="AO70" s="31">
        <v>0</v>
      </c>
      <c r="AP70" s="31">
        <v>0</v>
      </c>
      <c r="AQ70" s="31">
        <v>0</v>
      </c>
      <c r="AR70" s="31">
        <v>0</v>
      </c>
      <c r="AS70" s="31">
        <v>0</v>
      </c>
      <c r="BA70" s="34">
        <v>0</v>
      </c>
      <c r="BB70" s="34">
        <v>0</v>
      </c>
      <c r="BC70" s="34">
        <v>0</v>
      </c>
      <c r="BD70" s="34">
        <v>0</v>
      </c>
      <c r="BE70" s="34">
        <v>0</v>
      </c>
      <c r="BF70" s="35">
        <v>0</v>
      </c>
      <c r="BG70" s="34">
        <v>0</v>
      </c>
    </row>
    <row r="71" spans="1:59" ht="13.5">
      <c r="A71" s="31">
        <v>68</v>
      </c>
      <c r="B71" s="31" t="s">
        <v>206</v>
      </c>
      <c r="C71" s="31" t="s">
        <v>207</v>
      </c>
      <c r="D71" s="31">
        <v>18.0153</v>
      </c>
      <c r="E71" s="31">
        <v>22120</v>
      </c>
      <c r="F71" s="31">
        <v>647.4</v>
      </c>
      <c r="G71" s="31">
        <v>5.7000000000000002E-2</v>
      </c>
      <c r="H71" s="31">
        <v>0.34799999999999998</v>
      </c>
      <c r="I71" s="31">
        <v>7.89</v>
      </c>
      <c r="J71" s="31">
        <v>0.93</v>
      </c>
      <c r="K71" s="31">
        <v>0.94499999999999995</v>
      </c>
      <c r="L71" s="31">
        <v>0.95199999999999996</v>
      </c>
      <c r="M71" s="31">
        <v>0.2646</v>
      </c>
      <c r="N71" s="31">
        <v>0.23449999999999999</v>
      </c>
      <c r="O71" s="31">
        <v>0.21909999999999999</v>
      </c>
      <c r="P71" s="31">
        <v>44.015999999999998</v>
      </c>
      <c r="Q71" s="31">
        <v>0</v>
      </c>
      <c r="R71" s="31">
        <v>0.96799999999999997</v>
      </c>
      <c r="S71" s="31">
        <v>0.97099999999999997</v>
      </c>
      <c r="T71" s="31">
        <v>0.17899999999999999</v>
      </c>
      <c r="U71" s="31">
        <v>0.17</v>
      </c>
      <c r="V71" s="31">
        <v>0</v>
      </c>
      <c r="W71" s="31">
        <v>0</v>
      </c>
      <c r="X71" s="31">
        <v>0.80379999999999996</v>
      </c>
      <c r="Y71" s="31">
        <v>0.76190000000000002</v>
      </c>
      <c r="Z71" s="31">
        <v>0.622</v>
      </c>
      <c r="AA71" s="31">
        <v>0</v>
      </c>
      <c r="AB71" s="31">
        <v>0</v>
      </c>
      <c r="AC71" s="31">
        <v>0</v>
      </c>
      <c r="AD71" s="31">
        <v>0</v>
      </c>
      <c r="AE71" s="31">
        <v>0</v>
      </c>
      <c r="AF71" s="31">
        <v>0</v>
      </c>
      <c r="AG71" s="31">
        <v>809.1</v>
      </c>
      <c r="AH71" s="31">
        <v>0.2641</v>
      </c>
      <c r="AI71" s="31">
        <v>-241.82597999999999</v>
      </c>
      <c r="AJ71" s="31">
        <v>-228.59290999999999</v>
      </c>
      <c r="AK71" s="31">
        <v>372.99999000000003</v>
      </c>
      <c r="AL71" s="31">
        <v>0</v>
      </c>
      <c r="AM71" s="31">
        <v>0</v>
      </c>
      <c r="AN71" s="31">
        <v>672.99996999999996</v>
      </c>
      <c r="AO71" s="31">
        <v>0</v>
      </c>
      <c r="AP71" s="31">
        <v>8.66</v>
      </c>
      <c r="AQ71" s="31">
        <v>0</v>
      </c>
      <c r="AR71" s="31">
        <v>0</v>
      </c>
      <c r="AS71" s="31">
        <v>0</v>
      </c>
      <c r="AU71" s="32">
        <v>34.499000000000002</v>
      </c>
      <c r="AV71" s="32">
        <v>-14.259</v>
      </c>
      <c r="AW71" s="32">
        <v>47.356000000000002</v>
      </c>
      <c r="AX71" s="32">
        <v>-3.5676000000000001</v>
      </c>
      <c r="AY71" s="32">
        <v>9.3552999999999997</v>
      </c>
      <c r="BA71" s="34">
        <v>-5.7299150000000001</v>
      </c>
      <c r="BB71" s="34">
        <v>1.9150069999999999</v>
      </c>
      <c r="BC71" s="34">
        <v>-3.9574100000000002E-4</v>
      </c>
      <c r="BD71" s="34">
        <v>8.7623200000000001E-7</v>
      </c>
      <c r="BE71" s="34">
        <v>-4.9508599999999996E-10</v>
      </c>
      <c r="BF71" s="35">
        <v>1.038613E-13</v>
      </c>
      <c r="BG71" s="34">
        <v>0.70281499999999997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2"/>
  <sheetViews>
    <sheetView workbookViewId="0"/>
  </sheetViews>
  <sheetFormatPr defaultRowHeight="14.25"/>
  <cols>
    <col min="1" max="1" width="3.875" customWidth="1"/>
    <col min="2" max="2" width="24.75" customWidth="1"/>
  </cols>
  <sheetData>
    <row r="1" spans="1:4" ht="15.75" thickBot="1">
      <c r="A1" s="36"/>
      <c r="B1" s="37" t="s">
        <v>208</v>
      </c>
      <c r="C1" s="38" t="s">
        <v>209</v>
      </c>
      <c r="D1" s="39"/>
    </row>
    <row r="2" spans="1:4" ht="15">
      <c r="A2" s="40"/>
      <c r="B2" s="41"/>
      <c r="C2" s="41"/>
      <c r="D2" s="42"/>
    </row>
    <row r="3" spans="1:4">
      <c r="A3" s="43">
        <v>1</v>
      </c>
      <c r="B3" s="55" t="s">
        <v>94</v>
      </c>
      <c r="C3" s="56">
        <v>14.32</v>
      </c>
      <c r="D3" s="44"/>
    </row>
    <row r="4" spans="1:4">
      <c r="A4" s="43">
        <v>2</v>
      </c>
      <c r="B4" s="55" t="s">
        <v>96</v>
      </c>
      <c r="C4" s="56">
        <v>0.89</v>
      </c>
      <c r="D4" s="44"/>
    </row>
    <row r="5" spans="1:4">
      <c r="A5" s="43">
        <v>3</v>
      </c>
      <c r="B5" s="55" t="s">
        <v>98</v>
      </c>
      <c r="C5" s="56">
        <v>0</v>
      </c>
      <c r="D5" s="44"/>
    </row>
    <row r="6" spans="1:4">
      <c r="A6" s="43">
        <v>4</v>
      </c>
      <c r="B6" s="55" t="s">
        <v>100</v>
      </c>
      <c r="C6" s="56">
        <v>0</v>
      </c>
      <c r="D6" s="44"/>
    </row>
    <row r="7" spans="1:4">
      <c r="A7" s="43">
        <v>5</v>
      </c>
      <c r="B7" s="55" t="s">
        <v>102</v>
      </c>
      <c r="C7" s="56">
        <v>81.290000000000006</v>
      </c>
      <c r="D7" s="44"/>
    </row>
    <row r="8" spans="1:4">
      <c r="A8" s="43">
        <v>6</v>
      </c>
      <c r="B8" s="55" t="s">
        <v>104</v>
      </c>
      <c r="C8" s="56">
        <v>2.87</v>
      </c>
      <c r="D8" s="44"/>
    </row>
    <row r="9" spans="1:4">
      <c r="A9" s="43">
        <v>7</v>
      </c>
      <c r="B9" s="55" t="s">
        <v>106</v>
      </c>
      <c r="C9" s="56">
        <v>0.38</v>
      </c>
      <c r="D9" s="44"/>
    </row>
    <row r="10" spans="1:4">
      <c r="A10" s="43">
        <v>8</v>
      </c>
      <c r="B10" s="55" t="s">
        <v>108</v>
      </c>
      <c r="C10" s="56">
        <v>0.15</v>
      </c>
      <c r="D10" s="44"/>
    </row>
    <row r="11" spans="1:4">
      <c r="A11" s="43">
        <v>9</v>
      </c>
      <c r="B11" s="55" t="s">
        <v>109</v>
      </c>
      <c r="C11" s="56">
        <v>0</v>
      </c>
      <c r="D11" s="44"/>
    </row>
    <row r="12" spans="1:4">
      <c r="A12" s="43">
        <v>10</v>
      </c>
      <c r="B12" s="55" t="s">
        <v>111</v>
      </c>
      <c r="C12" s="56">
        <v>0.04</v>
      </c>
      <c r="D12" s="44"/>
    </row>
    <row r="13" spans="1:4">
      <c r="A13" s="43">
        <v>11</v>
      </c>
      <c r="B13" s="55" t="s">
        <v>112</v>
      </c>
      <c r="C13" s="56">
        <v>0</v>
      </c>
      <c r="D13" s="44"/>
    </row>
    <row r="14" spans="1:4">
      <c r="A14" s="43">
        <v>12</v>
      </c>
      <c r="B14" s="55" t="s">
        <v>113</v>
      </c>
      <c r="C14" s="56">
        <v>0</v>
      </c>
      <c r="D14" s="44"/>
    </row>
    <row r="15" spans="1:4">
      <c r="A15" s="43">
        <v>13</v>
      </c>
      <c r="B15" s="55" t="s">
        <v>115</v>
      </c>
      <c r="C15" s="56">
        <v>0.05</v>
      </c>
      <c r="D15" s="44"/>
    </row>
    <row r="16" spans="1:4">
      <c r="A16" s="43">
        <v>14</v>
      </c>
      <c r="B16" s="55" t="s">
        <v>116</v>
      </c>
      <c r="C16" s="56">
        <v>0</v>
      </c>
      <c r="D16" s="44"/>
    </row>
    <row r="17" spans="1:4">
      <c r="A17" s="43">
        <v>15</v>
      </c>
      <c r="B17" s="55" t="s">
        <v>117</v>
      </c>
      <c r="C17" s="56">
        <v>0</v>
      </c>
      <c r="D17" s="44"/>
    </row>
    <row r="18" spans="1:4">
      <c r="A18" s="43">
        <v>16</v>
      </c>
      <c r="B18" s="55" t="s">
        <v>118</v>
      </c>
      <c r="C18" s="56">
        <v>0</v>
      </c>
      <c r="D18" s="44"/>
    </row>
    <row r="19" spans="1:4">
      <c r="A19" s="43">
        <v>17</v>
      </c>
      <c r="B19" s="55" t="s">
        <v>119</v>
      </c>
      <c r="C19" s="56">
        <v>0</v>
      </c>
      <c r="D19" s="44"/>
    </row>
    <row r="20" spans="1:4">
      <c r="A20" s="43">
        <v>18</v>
      </c>
      <c r="B20" s="55" t="s">
        <v>121</v>
      </c>
      <c r="C20" s="56">
        <v>0</v>
      </c>
      <c r="D20" s="44"/>
    </row>
    <row r="21" spans="1:4">
      <c r="A21" s="43">
        <v>19</v>
      </c>
      <c r="B21" s="55" t="s">
        <v>122</v>
      </c>
      <c r="C21" s="56">
        <v>0</v>
      </c>
      <c r="D21" s="44"/>
    </row>
    <row r="22" spans="1:4">
      <c r="A22" s="43">
        <v>20</v>
      </c>
      <c r="B22" s="55" t="s">
        <v>123</v>
      </c>
      <c r="C22" s="56">
        <v>0</v>
      </c>
      <c r="D22" s="44"/>
    </row>
    <row r="23" spans="1:4">
      <c r="A23" s="43">
        <v>21</v>
      </c>
      <c r="B23" s="55" t="s">
        <v>125</v>
      </c>
      <c r="C23" s="56">
        <v>0</v>
      </c>
      <c r="D23" s="44"/>
    </row>
    <row r="24" spans="1:4">
      <c r="A24" s="43">
        <v>22</v>
      </c>
      <c r="B24" s="55" t="s">
        <v>127</v>
      </c>
      <c r="C24" s="56">
        <v>0</v>
      </c>
      <c r="D24" s="44"/>
    </row>
    <row r="25" spans="1:4">
      <c r="A25" s="43">
        <v>23</v>
      </c>
      <c r="B25" s="55" t="s">
        <v>129</v>
      </c>
      <c r="C25" s="56">
        <v>0</v>
      </c>
      <c r="D25" s="44"/>
    </row>
    <row r="26" spans="1:4">
      <c r="A26" s="43">
        <v>24</v>
      </c>
      <c r="B26" s="55" t="s">
        <v>131</v>
      </c>
      <c r="C26" s="56">
        <v>0</v>
      </c>
      <c r="D26" s="44"/>
    </row>
    <row r="27" spans="1:4">
      <c r="A27" s="43">
        <v>25</v>
      </c>
      <c r="B27" s="55" t="s">
        <v>133</v>
      </c>
      <c r="C27" s="56">
        <v>0</v>
      </c>
      <c r="D27" s="44"/>
    </row>
    <row r="28" spans="1:4">
      <c r="A28" s="43">
        <v>26</v>
      </c>
      <c r="B28" s="55" t="s">
        <v>135</v>
      </c>
      <c r="C28" s="56">
        <v>0</v>
      </c>
      <c r="D28" s="44"/>
    </row>
    <row r="29" spans="1:4">
      <c r="A29" s="43">
        <v>27</v>
      </c>
      <c r="B29" s="55" t="s">
        <v>137</v>
      </c>
      <c r="C29" s="56">
        <v>0</v>
      </c>
      <c r="D29" s="44"/>
    </row>
    <row r="30" spans="1:4">
      <c r="A30" s="43">
        <v>28</v>
      </c>
      <c r="B30" s="55" t="s">
        <v>139</v>
      </c>
      <c r="C30" s="56">
        <v>0</v>
      </c>
      <c r="D30" s="44"/>
    </row>
    <row r="31" spans="1:4">
      <c r="A31" s="43">
        <v>29</v>
      </c>
      <c r="B31" s="55" t="s">
        <v>141</v>
      </c>
      <c r="C31" s="56">
        <v>0</v>
      </c>
      <c r="D31" s="44"/>
    </row>
    <row r="32" spans="1:4">
      <c r="A32" s="43">
        <v>30</v>
      </c>
      <c r="B32" s="55" t="s">
        <v>143</v>
      </c>
      <c r="C32" s="56">
        <v>0</v>
      </c>
      <c r="D32" s="44"/>
    </row>
    <row r="33" spans="1:4">
      <c r="A33" s="43">
        <v>31</v>
      </c>
      <c r="B33" s="55" t="s">
        <v>144</v>
      </c>
      <c r="C33" s="56">
        <v>0</v>
      </c>
      <c r="D33" s="44"/>
    </row>
    <row r="34" spans="1:4">
      <c r="A34" s="43">
        <v>32</v>
      </c>
      <c r="B34" s="55" t="s">
        <v>145</v>
      </c>
      <c r="C34" s="56">
        <v>0</v>
      </c>
      <c r="D34" s="44"/>
    </row>
    <row r="35" spans="1:4">
      <c r="A35" s="43">
        <v>33</v>
      </c>
      <c r="B35" s="55" t="s">
        <v>146</v>
      </c>
      <c r="C35" s="56">
        <v>0</v>
      </c>
      <c r="D35" s="44"/>
    </row>
    <row r="36" spans="1:4">
      <c r="A36" s="43">
        <v>34</v>
      </c>
      <c r="B36" s="55" t="s">
        <v>148</v>
      </c>
      <c r="C36" s="56">
        <v>0</v>
      </c>
      <c r="D36" s="44"/>
    </row>
    <row r="37" spans="1:4">
      <c r="A37" s="43">
        <v>35</v>
      </c>
      <c r="B37" s="55" t="s">
        <v>150</v>
      </c>
      <c r="C37" s="56">
        <v>0</v>
      </c>
      <c r="D37" s="44"/>
    </row>
    <row r="38" spans="1:4">
      <c r="A38" s="43">
        <v>36</v>
      </c>
      <c r="B38" s="55" t="s">
        <v>152</v>
      </c>
      <c r="C38" s="56">
        <v>0</v>
      </c>
      <c r="D38" s="44"/>
    </row>
    <row r="39" spans="1:4">
      <c r="A39" s="43">
        <v>37</v>
      </c>
      <c r="B39" s="55" t="s">
        <v>153</v>
      </c>
      <c r="C39" s="56">
        <v>0</v>
      </c>
      <c r="D39" s="44"/>
    </row>
    <row r="40" spans="1:4">
      <c r="A40" s="43">
        <v>38</v>
      </c>
      <c r="B40" s="55" t="s">
        <v>155</v>
      </c>
      <c r="C40" s="56">
        <v>0</v>
      </c>
      <c r="D40" s="44"/>
    </row>
    <row r="41" spans="1:4">
      <c r="A41" s="43">
        <v>39</v>
      </c>
      <c r="B41" s="55" t="s">
        <v>156</v>
      </c>
      <c r="C41" s="56">
        <v>0</v>
      </c>
      <c r="D41" s="44"/>
    </row>
    <row r="42" spans="1:4">
      <c r="A42" s="43">
        <v>40</v>
      </c>
      <c r="B42" s="55" t="s">
        <v>157</v>
      </c>
      <c r="C42" s="56">
        <v>0</v>
      </c>
      <c r="D42" s="44"/>
    </row>
    <row r="43" spans="1:4">
      <c r="A43" s="43">
        <v>41</v>
      </c>
      <c r="B43" s="55" t="s">
        <v>158</v>
      </c>
      <c r="C43" s="56">
        <v>0</v>
      </c>
      <c r="D43" s="44"/>
    </row>
    <row r="44" spans="1:4">
      <c r="A44" s="43">
        <v>42</v>
      </c>
      <c r="B44" s="55" t="s">
        <v>160</v>
      </c>
      <c r="C44" s="56">
        <v>0</v>
      </c>
      <c r="D44" s="44"/>
    </row>
    <row r="45" spans="1:4">
      <c r="A45" s="43">
        <v>43</v>
      </c>
      <c r="B45" s="55" t="s">
        <v>162</v>
      </c>
      <c r="C45" s="56">
        <v>0</v>
      </c>
      <c r="D45" s="44"/>
    </row>
    <row r="46" spans="1:4">
      <c r="A46" s="43">
        <v>44</v>
      </c>
      <c r="B46" s="55" t="s">
        <v>163</v>
      </c>
      <c r="C46" s="56">
        <v>0</v>
      </c>
      <c r="D46" s="44"/>
    </row>
    <row r="47" spans="1:4">
      <c r="A47" s="43">
        <v>45</v>
      </c>
      <c r="B47" s="55" t="s">
        <v>164</v>
      </c>
      <c r="C47" s="56">
        <v>0</v>
      </c>
      <c r="D47" s="44"/>
    </row>
    <row r="48" spans="1:4">
      <c r="A48" s="43">
        <v>46</v>
      </c>
      <c r="B48" s="55" t="s">
        <v>166</v>
      </c>
      <c r="C48" s="56">
        <v>0</v>
      </c>
      <c r="D48" s="44"/>
    </row>
    <row r="49" spans="1:4">
      <c r="A49" s="43">
        <v>47</v>
      </c>
      <c r="B49" s="55" t="s">
        <v>168</v>
      </c>
      <c r="C49" s="56">
        <v>0</v>
      </c>
      <c r="D49" s="44"/>
    </row>
    <row r="50" spans="1:4">
      <c r="A50" s="43">
        <v>48</v>
      </c>
      <c r="B50" s="55" t="s">
        <v>170</v>
      </c>
      <c r="C50" s="56">
        <v>0</v>
      </c>
      <c r="D50" s="44"/>
    </row>
    <row r="51" spans="1:4">
      <c r="A51" s="43">
        <v>49</v>
      </c>
      <c r="B51" s="55" t="s">
        <v>172</v>
      </c>
      <c r="C51" s="56">
        <v>0</v>
      </c>
      <c r="D51" s="44"/>
    </row>
    <row r="52" spans="1:4">
      <c r="A52" s="43">
        <v>50</v>
      </c>
      <c r="B52" s="55" t="s">
        <v>173</v>
      </c>
      <c r="C52" s="56">
        <v>0</v>
      </c>
      <c r="D52" s="44"/>
    </row>
    <row r="53" spans="1:4">
      <c r="A53" s="43">
        <v>51</v>
      </c>
      <c r="B53" s="55" t="s">
        <v>174</v>
      </c>
      <c r="C53" s="56">
        <v>0</v>
      </c>
      <c r="D53" s="44"/>
    </row>
    <row r="54" spans="1:4">
      <c r="A54" s="43">
        <v>52</v>
      </c>
      <c r="B54" s="55" t="s">
        <v>175</v>
      </c>
      <c r="C54" s="56">
        <v>0</v>
      </c>
      <c r="D54" s="44"/>
    </row>
    <row r="55" spans="1:4" ht="15">
      <c r="A55" s="43">
        <v>53</v>
      </c>
      <c r="B55" s="55" t="s">
        <v>177</v>
      </c>
      <c r="C55" s="56">
        <v>0</v>
      </c>
      <c r="D55" s="45"/>
    </row>
    <row r="56" spans="1:4" ht="15">
      <c r="A56" s="43">
        <v>54</v>
      </c>
      <c r="B56" s="55" t="s">
        <v>179</v>
      </c>
      <c r="C56" s="56">
        <v>0</v>
      </c>
      <c r="D56" s="45"/>
    </row>
    <row r="57" spans="1:4">
      <c r="A57" s="43">
        <v>55</v>
      </c>
      <c r="B57" s="55" t="s">
        <v>181</v>
      </c>
      <c r="C57" s="56">
        <v>0</v>
      </c>
      <c r="D57" s="46"/>
    </row>
    <row r="58" spans="1:4">
      <c r="A58" s="43">
        <v>56</v>
      </c>
      <c r="B58" s="55" t="s">
        <v>183</v>
      </c>
      <c r="C58" s="56">
        <v>0</v>
      </c>
      <c r="D58" s="46"/>
    </row>
    <row r="59" spans="1:4">
      <c r="A59" s="43">
        <v>57</v>
      </c>
      <c r="B59" s="55" t="s">
        <v>185</v>
      </c>
      <c r="C59" s="56">
        <v>0</v>
      </c>
      <c r="D59" s="46"/>
    </row>
    <row r="60" spans="1:4">
      <c r="A60" s="43">
        <v>58</v>
      </c>
      <c r="B60" s="55" t="s">
        <v>187</v>
      </c>
      <c r="C60" s="56">
        <v>0</v>
      </c>
      <c r="D60" s="46"/>
    </row>
    <row r="61" spans="1:4">
      <c r="A61" s="43">
        <v>59</v>
      </c>
      <c r="B61" s="55" t="s">
        <v>189</v>
      </c>
      <c r="C61" s="56">
        <v>0</v>
      </c>
      <c r="D61" s="46"/>
    </row>
    <row r="62" spans="1:4">
      <c r="A62" s="43">
        <v>60</v>
      </c>
      <c r="B62" s="55" t="s">
        <v>191</v>
      </c>
      <c r="C62" s="56">
        <v>0</v>
      </c>
      <c r="D62" s="46"/>
    </row>
    <row r="63" spans="1:4">
      <c r="A63" s="43">
        <v>61</v>
      </c>
      <c r="B63" s="55" t="s">
        <v>193</v>
      </c>
      <c r="C63" s="56">
        <v>0</v>
      </c>
      <c r="D63" s="46"/>
    </row>
    <row r="64" spans="1:4">
      <c r="A64" s="43">
        <v>62</v>
      </c>
      <c r="B64" s="55" t="s">
        <v>195</v>
      </c>
      <c r="C64" s="56">
        <v>0</v>
      </c>
      <c r="D64" s="46"/>
    </row>
    <row r="65" spans="1:4">
      <c r="A65" s="43">
        <v>63</v>
      </c>
      <c r="B65" s="55" t="s">
        <v>197</v>
      </c>
      <c r="C65" s="56">
        <v>0.01</v>
      </c>
      <c r="D65" s="46"/>
    </row>
    <row r="66" spans="1:4">
      <c r="A66" s="43">
        <v>64</v>
      </c>
      <c r="B66" s="55" t="s">
        <v>211</v>
      </c>
      <c r="C66" s="56">
        <v>0</v>
      </c>
      <c r="D66" s="46"/>
    </row>
    <row r="67" spans="1:4">
      <c r="A67" s="43">
        <v>65</v>
      </c>
      <c r="B67" s="55" t="s">
        <v>212</v>
      </c>
      <c r="C67" s="56">
        <v>0</v>
      </c>
      <c r="D67" s="46"/>
    </row>
    <row r="68" spans="1:4">
      <c r="A68" s="43">
        <v>66</v>
      </c>
      <c r="B68" s="55" t="s">
        <v>203</v>
      </c>
      <c r="C68" s="56">
        <v>0</v>
      </c>
      <c r="D68" s="46"/>
    </row>
    <row r="69" spans="1:4">
      <c r="A69" s="43">
        <v>67</v>
      </c>
      <c r="B69" s="55" t="s">
        <v>205</v>
      </c>
      <c r="C69" s="56">
        <v>0</v>
      </c>
      <c r="D69" s="46"/>
    </row>
    <row r="70" spans="1:4">
      <c r="A70" s="43">
        <v>68</v>
      </c>
      <c r="B70" s="55" t="s">
        <v>207</v>
      </c>
      <c r="C70" s="56">
        <v>0</v>
      </c>
      <c r="D70" s="46"/>
    </row>
    <row r="71" spans="1:4">
      <c r="A71" s="47"/>
      <c r="B71" s="48"/>
      <c r="C71" s="49"/>
      <c r="D71" s="50"/>
    </row>
    <row r="72" spans="1:4" ht="15" thickBot="1">
      <c r="A72" s="51"/>
      <c r="B72" s="52" t="s">
        <v>210</v>
      </c>
      <c r="C72" s="53">
        <v>100.00000000000001</v>
      </c>
      <c r="D72" s="5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6DE6CA08BCEF9409C38C810659BAAB9" ma:contentTypeVersion="13" ma:contentTypeDescription="Create a new document." ma:contentTypeScope="" ma:versionID="95b2b83a08e7a8c6117767ee93d1e7ea">
  <xsd:schema xmlns:xsd="http://www.w3.org/2001/XMLSchema" xmlns:xs="http://www.w3.org/2001/XMLSchema" xmlns:p="http://schemas.microsoft.com/office/2006/metadata/properties" xmlns:ns2="04cb19f4-a98e-4e75-9261-c4a5d972c09c" xmlns:ns3="dc16640e-f0cd-4ab1-aa85-9a5bd5840833" targetNamespace="http://schemas.microsoft.com/office/2006/metadata/properties" ma:root="true" ma:fieldsID="39a18a943cbc93579f4dbf6e67d12d3d" ns2:_="" ns3:_="">
    <xsd:import namespace="04cb19f4-a98e-4e75-9261-c4a5d972c09c"/>
    <xsd:import namespace="dc16640e-f0cd-4ab1-aa85-9a5bd58408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cb19f4-a98e-4e75-9261-c4a5d972c0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b0b031d9-ae19-48d6-a524-e417b27e882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16640e-f0cd-4ab1-aa85-9a5bd584083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035b344-d102-47ae-ba1e-3f5b1b79cdcb}" ma:internalName="TaxCatchAll" ma:showField="CatchAllData" ma:web="dc16640e-f0cd-4ab1-aa85-9a5bd584083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8FDE266-040F-4C47-8CF9-FFAC1382F0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4cb19f4-a98e-4e75-9261-c4a5d972c09c"/>
    <ds:schemaRef ds:uri="dc16640e-f0cd-4ab1-aa85-9a5bd58408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46D2D8A-103C-4A3D-B90E-77F038FBC55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Control</vt:lpstr>
      <vt:lpstr>Data</vt:lpstr>
      <vt:lpstr>Sum_day</vt:lpstr>
      <vt:lpstr>Sum_week</vt:lpstr>
      <vt:lpstr>Stat</vt:lpstr>
      <vt:lpstr>Fysica</vt:lpstr>
      <vt:lpstr>Fyscon</vt:lpstr>
      <vt:lpstr>Gas</vt:lpstr>
      <vt:lpstr>Chart1</vt:lpstr>
      <vt:lpstr>Chart2</vt:lpstr>
      <vt:lpstr>Chart3</vt:lpstr>
      <vt:lpstr>Fyscon</vt:lpstr>
      <vt:lpstr>Ggas</vt:lpstr>
      <vt:lpstr>hGgas</vt:lpstr>
      <vt:lpstr>hHgas</vt:lpstr>
      <vt:lpstr>ZGgas</vt:lpstr>
      <vt:lpstr>ZHgas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Mellema, Robert</dc:creator>
  <cp:lastModifiedBy>USER</cp:lastModifiedBy>
  <dcterms:created xsi:type="dcterms:W3CDTF">2024-08-07T08:35:49Z</dcterms:created>
  <dcterms:modified xsi:type="dcterms:W3CDTF">2026-02-04T16:39:20Z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8141450-2387-4aca-b41f-19cd6be9dd3c_Enabled">
    <vt:lpwstr>true</vt:lpwstr>
  </property>
  <property fmtid="{D5CDD505-2E9C-101B-9397-08002B2CF9AE}" pid="3" name="MSIP_Label_48141450-2387-4aca-b41f-19cd6be9dd3c_SetDate">
    <vt:lpwstr>2024-08-07T08:48:02Z</vt:lpwstr>
  </property>
  <property fmtid="{D5CDD505-2E9C-101B-9397-08002B2CF9AE}" pid="4" name="MSIP_Label_48141450-2387-4aca-b41f-19cd6be9dd3c_Method">
    <vt:lpwstr>Standard</vt:lpwstr>
  </property>
  <property fmtid="{D5CDD505-2E9C-101B-9397-08002B2CF9AE}" pid="5" name="MSIP_Label_48141450-2387-4aca-b41f-19cd6be9dd3c_Name">
    <vt:lpwstr>Restricted_Unprotected</vt:lpwstr>
  </property>
  <property fmtid="{D5CDD505-2E9C-101B-9397-08002B2CF9AE}" pid="6" name="MSIP_Label_48141450-2387-4aca-b41f-19cd6be9dd3c_SiteId">
    <vt:lpwstr>adf10e2b-b6e9-41d6-be2f-c12bb566019c</vt:lpwstr>
  </property>
  <property fmtid="{D5CDD505-2E9C-101B-9397-08002B2CF9AE}" pid="7" name="MSIP_Label_48141450-2387-4aca-b41f-19cd6be9dd3c_ActionId">
    <vt:lpwstr>ca90eeac-fed8-4e75-b30a-9fd95d587fef</vt:lpwstr>
  </property>
  <property fmtid="{D5CDD505-2E9C-101B-9397-08002B2CF9AE}" pid="8" name="MSIP_Label_48141450-2387-4aca-b41f-19cd6be9dd3c_ContentBits">
    <vt:lpwstr>0</vt:lpwstr>
  </property>
</Properties>
</file>